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 Pengujian" sheetId="2" state="visible" r:id="rId2"/>
    <sheet xmlns:r="http://schemas.openxmlformats.org/officeDocument/2006/relationships" name="Ringkasan Latensi" sheetId="3" state="visible" r:id="rId3"/>
    <sheet xmlns:r="http://schemas.openxmlformats.org/officeDocument/2006/relationships" name="Ringkasan Ketahanan" sheetId="4" state="visible" r:id="rId4"/>
    <sheet xmlns:r="http://schemas.openxmlformats.org/officeDocument/2006/relationships" name="Uji Berpasangan" sheetId="5" state="visible" r:id="rId5"/>
    <sheet xmlns:r="http://schemas.openxmlformats.org/officeDocument/2006/relationships" name="Grafik" sheetId="6" state="visible" r:id="rId6"/>
    <sheet xmlns:r="http://schemas.openxmlformats.org/officeDocument/2006/relationships" name="Data QnA" sheetId="7" state="visible" r:id="rId7"/>
    <sheet xmlns:r="http://schemas.openxmlformats.org/officeDocument/2006/relationships" name="Daftar Pilihan" sheetId="8" state="visible" r:id="rId8"/>
  </sheets>
  <definedNames>
    <definedName name="_xlnm._FilterDatabase" localSheetId="1" hidden="1">'Data Pengujian'!$A$5:$W$505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0.0"/>
    <numFmt numFmtId="166" formatCode="0.0%"/>
    <numFmt numFmtId="167" formatCode="0&quot; mnt&quot;"/>
    <numFmt numFmtId="168" formatCode="0.000"/>
    <numFmt numFmtId="169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5" fillId="3" borderId="1" pivotButton="0" quotePrefix="0" xfId="0"/>
    <xf numFmtId="0" fontId="4" fillId="0" borderId="0" pivotButton="0" quotePrefix="0" xfId="0"/>
    <xf numFmtId="0" fontId="5" fillId="5" borderId="1" pivotButton="0" quotePrefix="0" xfId="0"/>
    <xf numFmtId="0" fontId="3" fillId="2" borderId="1" pivotButton="0" quotePrefix="0" xfId="0"/>
    <xf numFmtId="0" fontId="5" fillId="6" borderId="1" pivotButton="0" quotePrefix="0" xfId="0"/>
    <xf numFmtId="0" fontId="4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5" fillId="10" borderId="1" pivotButton="0" quotePrefix="0" xfId="0"/>
    <xf numFmtId="0" fontId="5" fillId="11" borderId="1" pivotButton="0" quotePrefix="0" xfId="0"/>
    <xf numFmtId="0" fontId="5" fillId="0" borderId="1" pivotButton="0" quotePrefix="0" xfId="0"/>
    <xf numFmtId="0" fontId="4" fillId="6" borderId="1" applyAlignment="1" pivotButton="0" quotePrefix="0" xfId="0">
      <alignment horizontal="left"/>
    </xf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4" fillId="3" borderId="1" pivotButton="0" quotePrefix="0" xfId="0"/>
    <xf numFmtId="164" fontId="4" fillId="3" borderId="1" pivotButton="0" quotePrefix="0" xfId="0"/>
    <xf numFmtId="0" fontId="4" fillId="3" borderId="1" pivotButton="0" quotePrefix="0" xfId="0"/>
    <xf numFmtId="165" fontId="4" fillId="3" borderId="1" pivotButton="0" quotePrefix="0" xfId="0"/>
    <xf numFmtId="2" fontId="4" fillId="3" borderId="1" pivotButton="0" quotePrefix="0" xfId="0"/>
    <xf numFmtId="0" fontId="4" fillId="3" borderId="1" applyAlignment="1" pivotButton="0" quotePrefix="0" xfId="0">
      <alignment/>
    </xf>
    <xf numFmtId="1" fontId="4" fillId="5" borderId="1" pivotButton="0" quotePrefix="0" xfId="0"/>
    <xf numFmtId="2" fontId="4" fillId="5" borderId="1" pivotButton="0" quotePrefix="0" xfId="0"/>
    <xf numFmtId="166" fontId="4" fillId="5" borderId="1" pivotButton="0" quotePrefix="0" xfId="0"/>
    <xf numFmtId="0" fontId="5" fillId="4" borderId="1" pivotButton="0" quotePrefix="0" xfId="0"/>
    <xf numFmtId="1" fontId="4" fillId="3" borderId="1" applyAlignment="1" pivotButton="0" quotePrefix="0" xfId="0">
      <alignment horizontal="center" vertical="center" wrapText="1"/>
    </xf>
    <xf numFmtId="1" fontId="5" fillId="5" borderId="1" pivotButton="0" quotePrefix="0" xfId="0"/>
    <xf numFmtId="166" fontId="5" fillId="5" borderId="1" pivotButton="0" quotePrefix="0" xfId="0"/>
    <xf numFmtId="2" fontId="5" fillId="5" borderId="1" pivotButton="0" quotePrefix="0" xfId="0"/>
    <xf numFmtId="0" fontId="4" fillId="5" borderId="1" pivotButton="0" quotePrefix="0" xfId="0"/>
    <xf numFmtId="167" fontId="3" fillId="2" borderId="1" applyAlignment="1" pivotButton="0" quotePrefix="0" xfId="0">
      <alignment horizontal="center" vertical="center" wrapText="1"/>
    </xf>
    <xf numFmtId="165" fontId="4" fillId="5" borderId="1" pivotButton="0" quotePrefix="0" xfId="0"/>
    <xf numFmtId="0" fontId="5" fillId="4" borderId="1" applyAlignment="1" pivotButton="0" quotePrefix="0" xfId="0">
      <alignment horizontal="left" vertical="top" wrapText="1"/>
    </xf>
    <xf numFmtId="1" fontId="4" fillId="0" borderId="1" applyAlignment="1" pivotButton="0" quotePrefix="0" xfId="0">
      <alignment horizontal="center" vertical="center" wrapText="1"/>
    </xf>
    <xf numFmtId="168" fontId="4" fillId="5" borderId="1" pivotButton="0" quotePrefix="0" xfId="0"/>
    <xf numFmtId="169" fontId="4" fillId="5" borderId="1" pivotButton="0" quotePrefix="0" xfId="0"/>
    <xf numFmtId="0" fontId="5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D9D2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Durasi Video vs Rata-rata Total Waktu Server</a:t>
            </a:r>
          </a:p>
        </rich>
      </tx>
    </title>
    <plotArea>
      <scatterChart>
        <ser>
          <idx val="0"/>
          <order val="0"/>
          <tx>
            <strRef>
              <f>'Ringkasan Latensi'!$C$4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'Ringkasan Latensi'!$B$9:$B$12</f>
            </numRef>
          </xVal>
          <yVal>
            <numRef>
              <f>'Ringkasan Latensi'!$F$9:$F$12</f>
            </numRef>
          </yVal>
          <smooth val="0"/>
        </ser>
        <ser>
          <idx val="1"/>
          <order val="1"/>
          <tx>
            <strRef>
              <f>'Ringkasan Latensi'!$C$5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'Ringkasan Latensi'!$B$18:$B$21</f>
            </numRef>
          </xVal>
          <yVal>
            <numRef>
              <f>'Ringkasan Latensi'!$F$18:$F$21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Durasi video (menit)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Waktu (detik)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Durasi Video vs Rata-rata Waktu yang Dirasakan User</a:t>
            </a:r>
          </a:p>
        </rich>
      </tx>
    </title>
    <plotArea>
      <scatterChart>
        <ser>
          <idx val="0"/>
          <order val="0"/>
          <tx>
            <strRef>
              <f>'Ringkasan Latensi'!$C$4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'Ringkasan Latensi'!$B$9:$B$12</f>
            </numRef>
          </xVal>
          <yVal>
            <numRef>
              <f>'Ringkasan Latensi'!$R$9:$R$12</f>
            </numRef>
          </yVal>
          <smooth val="0"/>
        </ser>
        <ser>
          <idx val="1"/>
          <order val="1"/>
          <tx>
            <strRef>
              <f>'Ringkasan Latensi'!$C$5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'Ringkasan Latensi'!$B$18:$B$21</f>
            </numRef>
          </xVal>
          <yVal>
            <numRef>
              <f>'Ringkasan Latensi'!$R$18:$R$21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Durasi video (menit)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Waktu (detik)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Rincian Waktu per Tahap — Label A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'Ringkasan Latensi'!L8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Latensi'!$B$9:$B$12</f>
            </numRef>
          </cat>
          <val>
            <numRef>
              <f>'Ringkasan Latensi'!$L$9:$L$12</f>
            </numRef>
          </val>
        </ser>
        <ser>
          <idx val="1"/>
          <order val="1"/>
          <tx>
            <strRef>
              <f>'Ringkasan Latensi'!M8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Latensi'!$B$9:$B$12</f>
            </numRef>
          </cat>
          <val>
            <numRef>
              <f>'Ringkasan Latensi'!$M$9:$M$12</f>
            </numRef>
          </val>
        </ser>
        <ser>
          <idx val="2"/>
          <order val="2"/>
          <tx>
            <strRef>
              <f>'Ringkasan Latensi'!N8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Latensi'!$B$9:$B$12</f>
            </numRef>
          </cat>
          <val>
            <numRef>
              <f>'Ringkasan Latensi'!$N$9:$N$12</f>
            </numRef>
          </val>
        </ser>
        <ser>
          <idx val="3"/>
          <order val="3"/>
          <tx>
            <strRef>
              <f>'Ringkasan Latensi'!O8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Latensi'!$B$9:$B$12</f>
            </numRef>
          </cat>
          <val>
            <numRef>
              <f>'Ringkasan Latensi'!$O$9:$O$12</f>
            </numRef>
          </val>
        </ser>
        <ser>
          <idx val="4"/>
          <order val="4"/>
          <tx>
            <strRef>
              <f>'Ringkasan Latensi'!P8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Latensi'!$B$9:$B$12</f>
            </numRef>
          </cat>
          <val>
            <numRef>
              <f>'Ringkasan Latensi'!$P$9:$P$12</f>
            </numRef>
          </val>
        </ser>
        <ser>
          <idx val="5"/>
          <order val="5"/>
          <tx>
            <strRef>
              <f>'Ringkasan Latensi'!Q8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Latensi'!$B$9:$B$12</f>
            </numRef>
          </cat>
          <val>
            <numRef>
              <f>'Ringkasan Latensi'!$Q$9:$Q$12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Durasi video (menit)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Waktu (detik)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Rincian Waktu per Tahap — Label B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'Ringkasan Latensi'!L17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Latensi'!$B$18:$B$21</f>
            </numRef>
          </cat>
          <val>
            <numRef>
              <f>'Ringkasan Latensi'!$L$18:$L$21</f>
            </numRef>
          </val>
        </ser>
        <ser>
          <idx val="1"/>
          <order val="1"/>
          <tx>
            <strRef>
              <f>'Ringkasan Latensi'!M17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Latensi'!$B$18:$B$21</f>
            </numRef>
          </cat>
          <val>
            <numRef>
              <f>'Ringkasan Latensi'!$M$18:$M$21</f>
            </numRef>
          </val>
        </ser>
        <ser>
          <idx val="2"/>
          <order val="2"/>
          <tx>
            <strRef>
              <f>'Ringkasan Latensi'!N17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Latensi'!$B$18:$B$21</f>
            </numRef>
          </cat>
          <val>
            <numRef>
              <f>'Ringkasan Latensi'!$N$18:$N$21</f>
            </numRef>
          </val>
        </ser>
        <ser>
          <idx val="3"/>
          <order val="3"/>
          <tx>
            <strRef>
              <f>'Ringkasan Latensi'!O17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Latensi'!$B$18:$B$21</f>
            </numRef>
          </cat>
          <val>
            <numRef>
              <f>'Ringkasan Latensi'!$O$18:$O$21</f>
            </numRef>
          </val>
        </ser>
        <ser>
          <idx val="4"/>
          <order val="4"/>
          <tx>
            <strRef>
              <f>'Ringkasan Latensi'!P17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Latensi'!$B$18:$B$21</f>
            </numRef>
          </cat>
          <val>
            <numRef>
              <f>'Ringkasan Latensi'!$P$18:$P$21</f>
            </numRef>
          </val>
        </ser>
        <ser>
          <idx val="5"/>
          <order val="5"/>
          <tx>
            <strRef>
              <f>'Ringkasan Latensi'!Q17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Latensi'!$B$18:$B$21</f>
            </numRef>
          </cat>
          <val>
            <numRef>
              <f>'Ringkasan Latensi'!$Q$18:$Q$21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Durasi video (menit)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Waktu (detik)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Tingkat Kegagalan per Fase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'Ringkasan Ketahanan'!K5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Ketahanan'!$B$6:$B$11</f>
            </numRef>
          </cat>
          <val>
            <numRef>
              <f>'Ringkasan Ketahanan'!$K$6:$K$11</f>
            </numRef>
          </val>
        </ser>
        <ser>
          <idx val="1"/>
          <order val="1"/>
          <tx>
            <strRef>
              <f>'Ringkasan Ketahanan'!L5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 Ketahanan'!$B$6:$B$11</f>
            </numRef>
          </cat>
          <val>
            <numRef>
              <f>'Ringkasan Ketahanan'!$L$6:$L$11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Proporsi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Template</author>
  </authors>
  <commentList>
    <comment ref="N5" authorId="0" shapeId="0">
      <text>
        <t>total_s di CSV export: request upload diterima server sampai feedback tersimpan (siap ditampilkan).</t>
      </text>
    </comment>
    <comment ref="O5" authorId="0" shapeId="0">
      <text>
        <t>client_total_s: user menekan Upload sampai hasil terlihat di aplikasi/runner.</t>
      </text>
    </comment>
    <comment ref="U5" authorId="0" shapeId="0">
      <text>
        <t>Total Server dikurangi semua tahap terukur (I..M). Berisi waktu antre, jeda backoff retry, dan overhead polling. Hanya dihitung untuk baris SUCCESS.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L5" authorId="0" shapeId="0">
      <text>
        <t>Kolom answer_s di runner_&lt;label&gt;.csv, atau stopwatch di aplikasi: tombol Stop &amp; Submit sampai hasil muncul.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23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42</row>
      <rowOff>0</rowOff>
    </from>
    <ext cx="576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8" customWidth="1" min="3" max="3"/>
    <col width="70" customWidth="1" min="4" max="4"/>
  </cols>
  <sheetData>
    <row r="1">
      <c r="A1" s="1" t="inlineStr">
        <is>
          <t>Template Pencatatan Hasil Pengujian — ECPresent</t>
        </is>
      </c>
    </row>
    <row r="2">
      <c r="A2" s="2" t="inlineStr">
        <is>
          <t>Riset: Optimasi Latensi dan Peningkatan Ketahanan Sistem Feedback Presentasi Asinkron Berbasis Gemini API</t>
        </is>
      </c>
    </row>
    <row r="5">
      <c r="B5" s="3" t="inlineStr">
        <is>
          <t>1. Legenda warna</t>
        </is>
      </c>
    </row>
    <row r="6">
      <c r="B6" s="4" t="inlineStr">
        <is>
          <t>Kuning</t>
        </is>
      </c>
      <c r="C6" s="5" t="inlineStr">
        <is>
          <t>Diisi oleh penguji (atau ditempel dari CSV hasil export).</t>
        </is>
      </c>
    </row>
    <row r="7">
      <c r="B7" s="6" t="inlineStr">
        <is>
          <t>Abu-abu</t>
        </is>
      </c>
      <c r="C7" s="5" t="inlineStr">
        <is>
          <t>Rumus otomatis. Jangan diketik manual.</t>
        </is>
      </c>
    </row>
    <row r="8">
      <c r="B8" s="7" t="inlineStr">
        <is>
          <t>Biru tua</t>
        </is>
      </c>
      <c r="C8" s="5" t="inlineStr">
        <is>
          <t>Judul kolom.</t>
        </is>
      </c>
    </row>
    <row r="9">
      <c r="B9" s="8" t="inlineStr">
        <is>
          <t>Hijau</t>
        </is>
      </c>
      <c r="C9" s="5" t="inlineStr">
        <is>
          <t>Contoh format pengisian (hanya di sheet ini, tidak ikut dihitung).</t>
        </is>
      </c>
    </row>
    <row r="11">
      <c r="B11" s="3" t="inlineStr">
        <is>
          <t>2. Cara mengisi</t>
        </is>
      </c>
    </row>
    <row r="12" ht="31" customHeight="1">
      <c r="B12" s="9" t="inlineStr">
        <is>
          <t>a. Jalankan pengujian (lihat experiment/README.md). Setiap fase memakai label berbeda, mis. baseline, optimized, baseline-fault30.</t>
        </is>
      </c>
    </row>
    <row r="13" ht="31" customHeight="1">
      <c r="B13" s="9" t="inlineStr">
        <is>
          <t>b. Jalankan  npm run experiment:export  di folder backend. Script membuat file experiment/results/template_video_&lt;waktu&gt;.csv yang urutan kolomnya sama persis dengan sheet 'Data Pengujian' (kolom A–S).</t>
        </is>
      </c>
    </row>
    <row r="14" ht="31" customHeight="1">
      <c r="B14" s="9" t="inlineStr">
        <is>
          <t>c. Buka CSV itu, salin baris data (tanpa judul kolom), lalu tempel ke sheet 'Data Pengujian' mulai sel A6. Baris contoh yang sudah terisi (label, mode, kode sampel) boleh tertimpa.</t>
        </is>
      </c>
    </row>
    <row r="15" ht="31" customHeight="1">
      <c r="B15" s="9" t="inlineStr">
        <is>
          <t>d. Jika Excel memakai format Indonesia (koma sebagai desimal), jalankan export dengan  npm run experiment:export -- --decimal-comma  supaya angka terbaca benar.</t>
        </is>
      </c>
    </row>
    <row r="16" ht="31" customHeight="1">
      <c r="B16" s="9" t="inlineStr">
        <is>
          <t>e. Bisa juga diisi manual dari console backend (baris [TIMING]) atau dari tabel processing_logs. Gunakan tabel pemetaan di bawah.</t>
        </is>
      </c>
    </row>
    <row r="17" ht="31" customHeight="1">
      <c r="B17" s="9" t="inlineStr">
        <is>
          <t>f. Sheet 'Ringkasan Latensi', 'Ringkasan Ketahanan', 'Uji Berpasangan', dan 'Grafik' terisi otomatis. Ganti Label A/B di 'Ringkasan Latensi' atau 'Uji Berpasangan' untuk membandingkan fase lain.</t>
        </is>
      </c>
    </row>
    <row r="18" ht="31" customHeight="1">
      <c r="B18" s="9" t="inlineStr">
        <is>
          <t>g. Data tahap jawaban QnA (Fase D, opsional) diisi di sheet 'Data QnA' dari template_answer_&lt;waktu&gt;.csv  (npm run experiment:export -- --kind ANSWER).</t>
        </is>
      </c>
    </row>
    <row r="20">
      <c r="B20" s="3" t="inlineStr">
        <is>
          <t>3. Pemetaan kolom (sheet ← kolom CSV processing_logs_video_*.csv)</t>
        </is>
      </c>
    </row>
    <row r="21">
      <c r="B21" s="10" t="inlineStr">
        <is>
          <t>Kolom sheet</t>
        </is>
      </c>
      <c r="C21" s="10" t="inlineStr">
        <is>
          <t>Kolom CSV / database</t>
        </is>
      </c>
      <c r="D21" s="10" t="inlineStr">
        <is>
          <t>Keterangan</t>
        </is>
      </c>
    </row>
    <row r="22">
      <c r="B22" s="11" t="inlineStr">
        <is>
          <t>Label Fase</t>
        </is>
      </c>
      <c r="C22" s="12" t="inlineStr">
        <is>
          <t>experiment_label</t>
        </is>
      </c>
      <c r="D22" s="11" t="inlineStr">
        <is>
          <t>Label fase pengujian (EXPERIMENT_LABEL atau --label runner).</t>
        </is>
      </c>
    </row>
    <row r="23">
      <c r="B23" s="11" t="inlineStr">
        <is>
          <t>Mode</t>
        </is>
      </c>
      <c r="C23" s="12" t="inlineStr">
        <is>
          <t>pipeline_mode</t>
        </is>
      </c>
      <c r="D23" s="11" t="inlineStr">
        <is>
          <t>baseline / optimized.</t>
        </is>
      </c>
    </row>
    <row r="24">
      <c r="B24" s="11" t="inlineStr">
        <is>
          <t>Kode Sampel</t>
        </is>
      </c>
      <c r="C24" s="12" t="inlineStr">
        <is>
          <t>sample_label</t>
        </is>
      </c>
      <c r="D24" s="11" t="inlineStr">
        <is>
          <t>Nama file video tanpa ekstensi, atau judul presentasi di aplikasi.</t>
        </is>
      </c>
    </row>
    <row r="25">
      <c r="B25" s="11" t="inlineStr">
        <is>
          <t>Durasi Target (mnt)</t>
        </is>
      </c>
      <c r="C25" s="12" t="inlineStr">
        <is>
          <t>duration_bucket_min</t>
        </is>
      </c>
      <c r="D25" s="11" t="inlineStr">
        <is>
          <t>Kelompok durasi terdekat: 1, 3, 5, 8.</t>
        </is>
      </c>
    </row>
    <row r="26">
      <c r="B26" s="11" t="inlineStr">
        <is>
          <t>Durasi Aktual (dtk)</t>
        </is>
      </c>
      <c r="C26" s="12" t="inlineStr">
        <is>
          <t>video_duration_sec</t>
        </is>
      </c>
      <c r="D26" s="11" t="inlineStr">
        <is>
          <t>Dibaca dari header MP4/MOV.</t>
        </is>
      </c>
    </row>
    <row r="27">
      <c r="B27" s="11" t="inlineStr">
        <is>
          <t>Ukuran File (MB)</t>
        </is>
      </c>
      <c r="C27" s="12" t="inlineStr">
        <is>
          <t>file_size_mb</t>
        </is>
      </c>
      <c r="D27" s="11" t="inlineStr"/>
    </row>
    <row r="28">
      <c r="B28" s="11" t="inlineStr">
        <is>
          <t>Terima File di Server (dtk)</t>
        </is>
      </c>
      <c r="C28" s="12" t="inlineStr">
        <is>
          <t>server_receive_s</t>
        </is>
      </c>
      <c r="D28" s="11" t="inlineStr">
        <is>
          <t>Lama server menerima file dari HP/runner.</t>
        </is>
      </c>
    </row>
    <row r="29">
      <c r="B29" s="11" t="inlineStr">
        <is>
          <t>Upload ke Gemini (dtk)</t>
        </is>
      </c>
      <c r="C29" s="12" t="inlineStr">
        <is>
          <t>gemini_upload_s</t>
        </is>
      </c>
      <c r="D29" s="11" t="inlineStr">
        <is>
          <t>Total semua percobaan upload.</t>
        </is>
      </c>
    </row>
    <row r="30">
      <c r="B30" s="11" t="inlineStr">
        <is>
          <t>Tunggu File ACTIVE (dtk)</t>
        </is>
      </c>
      <c r="C30" s="12" t="inlineStr">
        <is>
          <t>file_active_s</t>
        </is>
      </c>
      <c r="D30" s="11" t="inlineStr">
        <is>
          <t>Polling sampai file siap diproses Gemini.</t>
        </is>
      </c>
    </row>
    <row r="31">
      <c r="B31" s="11" t="inlineStr">
        <is>
          <t>generateContent (dtk)</t>
        </is>
      </c>
      <c r="C31" s="12" t="inlineStr">
        <is>
          <t>generate_s</t>
        </is>
      </c>
      <c r="D31" s="11" t="inlineStr">
        <is>
          <t>Total semua percobaan generateContent.</t>
        </is>
      </c>
    </row>
    <row r="32">
      <c r="B32" s="11" t="inlineStr">
        <is>
          <t>Simpan ke DB (dtk)</t>
        </is>
      </c>
      <c r="C32" s="12" t="inlineStr">
        <is>
          <t>save_s</t>
        </is>
      </c>
      <c r="D32" s="11" t="inlineStr"/>
    </row>
    <row r="33">
      <c r="B33" s="11" t="inlineStr">
        <is>
          <t>Total Server (dtk)</t>
        </is>
      </c>
      <c r="C33" s="12" t="inlineStr">
        <is>
          <t>total_s</t>
        </is>
      </c>
      <c r="D33" s="11" t="inlineStr">
        <is>
          <t>Request diterima → feedback tersimpan. Variabel terikat utama.</t>
        </is>
      </c>
    </row>
    <row r="34">
      <c r="B34" s="11" t="inlineStr">
        <is>
          <t>Total Dirasakan User (dtk)</t>
        </is>
      </c>
      <c r="C34" s="12" t="inlineStr">
        <is>
          <t>client_total_s</t>
        </is>
      </c>
      <c r="D34" s="11" t="inlineStr">
        <is>
          <t>Tekan Upload → hasil tampil di aplikasi/runner.</t>
        </is>
      </c>
    </row>
    <row r="35">
      <c r="B35" s="11" t="inlineStr">
        <is>
          <t>Jumlah Percobaan generate</t>
        </is>
      </c>
      <c r="C35" s="12" t="inlineStr">
        <is>
          <t>generate_attempts</t>
        </is>
      </c>
      <c r="D35" s="11" t="inlineStr">
        <is>
          <t>&gt; 1 berarti terjadi retry.</t>
        </is>
      </c>
    </row>
    <row r="36">
      <c r="B36" s="11" t="inlineStr">
        <is>
          <t>Status Akhir</t>
        </is>
      </c>
      <c r="C36" s="12" t="inlineStr">
        <is>
          <t>outcome</t>
        </is>
      </c>
      <c r="D36" s="11" t="inlineStr">
        <is>
          <t>Lihat definisi di bawah.</t>
        </is>
      </c>
    </row>
    <row r="37">
      <c r="B37" s="11" t="inlineStr">
        <is>
          <t>Tahap Gagal</t>
        </is>
      </c>
      <c r="C37" s="12" t="inlineStr">
        <is>
          <t>failure_stage</t>
        </is>
      </c>
      <c r="D37" s="11" t="inlineStr">
        <is>
          <t>Tahap tempat error terjadi.</t>
        </is>
      </c>
    </row>
    <row r="38">
      <c r="B38" s="11" t="inlineStr">
        <is>
          <t>Catatan</t>
        </is>
      </c>
      <c r="C38" s="12" t="inlineStr">
        <is>
          <t>error_message</t>
        </is>
      </c>
      <c r="D38" s="11" t="inlineStr">
        <is>
          <t>Pesan error, kondisi jaringan, dsb.</t>
        </is>
      </c>
    </row>
    <row r="40">
      <c r="B40" s="3" t="inlineStr">
        <is>
          <t>4. Definisi Status Akhir</t>
        </is>
      </c>
    </row>
    <row r="41">
      <c r="B41" s="10" t="inlineStr">
        <is>
          <t>Status</t>
        </is>
      </c>
      <c r="C41" s="10" t="inlineStr">
        <is>
          <t>Kondisi</t>
        </is>
      </c>
      <c r="D41" s="10" t="inlineStr">
        <is>
          <t>Arti</t>
        </is>
      </c>
    </row>
    <row r="42">
      <c r="B42" s="13" t="inlineStr">
        <is>
          <t>SUCCESS</t>
        </is>
      </c>
      <c r="C42" s="11" t="inlineStr">
        <is>
          <t>status = SUCCESS</t>
        </is>
      </c>
      <c r="D42" s="11" t="inlineStr">
        <is>
          <t>Analisis Gemini berhasil.</t>
        </is>
      </c>
    </row>
    <row r="43">
      <c r="B43" s="14" t="inlineStr">
        <is>
          <t>SILENT_FAILURE</t>
        </is>
      </c>
      <c r="C43" s="11" t="inlineStr">
        <is>
          <t>status = FALLBACK</t>
        </is>
      </c>
      <c r="D43" s="11" t="inlineStr">
        <is>
          <t>Gemini gagal tetapi user tetap menerima feedback mock skor 0 tanpa diberi tahu (khas baseline).</t>
        </is>
      </c>
    </row>
    <row r="44">
      <c r="B44" s="15" t="inlineStr">
        <is>
          <t>FAILED</t>
        </is>
      </c>
      <c r="C44" s="11" t="inlineStr">
        <is>
          <t>status = FAILED</t>
        </is>
      </c>
      <c r="D44" s="11" t="inlineStr">
        <is>
          <t>Gagal dan user diberi tahu lewat dialog di aplikasi (khas optimized).</t>
        </is>
      </c>
    </row>
    <row r="45">
      <c r="B45" s="16" t="inlineStr">
        <is>
          <t>TIMEOUT</t>
        </is>
      </c>
      <c r="C45" s="11" t="inlineStr">
        <is>
          <t>status = TIMEOUT</t>
        </is>
      </c>
      <c r="D45" s="11" t="inlineStr">
        <is>
          <t>Dihentikan karena melewati batas waktu (watchdog/deadline).</t>
        </is>
      </c>
    </row>
    <row r="46">
      <c r="B46" s="17" t="inlineStr">
        <is>
          <t>STUCK</t>
        </is>
      </c>
      <c r="C46" s="11" t="inlineStr">
        <is>
          <t>RUNNING tanpa progres &gt; 5 menit</t>
        </is>
      </c>
      <c r="D46" s="11" t="inlineStr">
        <is>
          <t>Proses macet; user menunggu tanpa kepastian.</t>
        </is>
      </c>
    </row>
    <row r="48">
      <c r="B48" s="3" t="inlineStr">
        <is>
          <t>5. Contoh pengisian satu baris (ilustrasi format, bukan data hasil pengujian)</t>
        </is>
      </c>
    </row>
    <row r="49">
      <c r="B49" s="10" t="inlineStr">
        <is>
          <t>Kolom</t>
        </is>
      </c>
      <c r="C49" s="10" t="inlineStr">
        <is>
          <t>Contoh nilai</t>
        </is>
      </c>
    </row>
    <row r="50">
      <c r="B50" s="18" t="inlineStr">
        <is>
          <t>No</t>
        </is>
      </c>
      <c r="C50" s="19" t="n">
        <v>1</v>
      </c>
    </row>
    <row r="51">
      <c r="B51" s="18" t="inlineStr">
        <is>
          <t>Tanggal</t>
        </is>
      </c>
      <c r="C51" s="19" t="inlineStr">
        <is>
          <t>2026-10-07</t>
        </is>
      </c>
    </row>
    <row r="52">
      <c r="B52" s="18" t="inlineStr">
        <is>
          <t>Label Fase</t>
        </is>
      </c>
      <c r="C52" s="19" t="inlineStr">
        <is>
          <t>baseline</t>
        </is>
      </c>
    </row>
    <row r="53">
      <c r="B53" s="18" t="inlineStr">
        <is>
          <t>Mode</t>
        </is>
      </c>
      <c r="C53" s="19" t="inlineStr">
        <is>
          <t>baseline</t>
        </is>
      </c>
    </row>
    <row r="54">
      <c r="B54" s="18" t="inlineStr">
        <is>
          <t>Kode Sampel</t>
        </is>
      </c>
      <c r="C54" s="19" t="inlineStr">
        <is>
          <t>05min_02</t>
        </is>
      </c>
    </row>
    <row r="55">
      <c r="B55" s="18" t="inlineStr">
        <is>
          <t>Durasi Target (mnt)</t>
        </is>
      </c>
      <c r="C55" s="19" t="n">
        <v>5</v>
      </c>
    </row>
    <row r="56">
      <c r="B56" s="18" t="inlineStr">
        <is>
          <t>Durasi Aktual (dtk)</t>
        </is>
      </c>
      <c r="C56" s="19" t="n">
        <v>301.4</v>
      </c>
    </row>
    <row r="57">
      <c r="B57" s="18" t="inlineStr">
        <is>
          <t>Ukuran File (MB)</t>
        </is>
      </c>
      <c r="C57" s="19" t="n">
        <v>58.7</v>
      </c>
    </row>
    <row r="58">
      <c r="B58" s="18" t="inlineStr">
        <is>
          <t>Terima File di Server (dtk)</t>
        </is>
      </c>
      <c r="C58" s="19" t="n">
        <v>1.92</v>
      </c>
    </row>
    <row r="59">
      <c r="B59" s="18" t="inlineStr">
        <is>
          <t>Upload ke Gemini (dtk)</t>
        </is>
      </c>
      <c r="C59" s="19" t="n">
        <v>6.84</v>
      </c>
    </row>
    <row r="60">
      <c r="B60" s="18" t="inlineStr">
        <is>
          <t>Tunggu File ACTIVE (dtk)</t>
        </is>
      </c>
      <c r="C60" s="19" t="n">
        <v>24.1</v>
      </c>
    </row>
    <row r="61">
      <c r="B61" s="18" t="inlineStr">
        <is>
          <t>generateContent (dtk)</t>
        </is>
      </c>
      <c r="C61" s="19" t="n">
        <v>38.52</v>
      </c>
    </row>
    <row r="62">
      <c r="B62" s="18" t="inlineStr">
        <is>
          <t>Simpan ke DB (dtk)</t>
        </is>
      </c>
      <c r="C62" s="19" t="n">
        <v>0.02</v>
      </c>
    </row>
    <row r="63">
      <c r="B63" s="18" t="inlineStr">
        <is>
          <t>Total Server (dtk)</t>
        </is>
      </c>
      <c r="C63" s="19" t="n">
        <v>71.59999999999999</v>
      </c>
    </row>
    <row r="64">
      <c r="B64" s="18" t="inlineStr">
        <is>
          <t>Total Dirasakan User (dtk)</t>
        </is>
      </c>
      <c r="C64" s="19" t="n">
        <v>79.34999999999999</v>
      </c>
    </row>
    <row r="65">
      <c r="B65" s="18" t="inlineStr">
        <is>
          <t>Jumlah Percobaan generate</t>
        </is>
      </c>
      <c r="C65" s="19" t="n">
        <v>1</v>
      </c>
    </row>
    <row r="66">
      <c r="B66" s="18" t="inlineStr">
        <is>
          <t>Status Akhir</t>
        </is>
      </c>
      <c r="C66" s="19" t="inlineStr">
        <is>
          <t>SUCCESS</t>
        </is>
      </c>
    </row>
    <row r="67">
      <c r="B67" s="18" t="inlineStr">
        <is>
          <t>Tahap Gagal</t>
        </is>
      </c>
      <c r="C67" s="19" t="inlineStr">
        <is>
          <t>(kosong)</t>
        </is>
      </c>
    </row>
    <row r="68">
      <c r="B68" s="18" t="inlineStr">
        <is>
          <t>Catatan</t>
        </is>
      </c>
      <c r="C68" s="19" t="inlineStr">
        <is>
          <t>WiFi kampus</t>
        </is>
      </c>
    </row>
    <row r="70">
      <c r="B70" s="3" t="inlineStr">
        <is>
          <t>6. Catatan</t>
        </is>
      </c>
    </row>
    <row r="71" ht="17" customHeight="1">
      <c r="B71" s="9" t="inlineStr">
        <is>
          <t>• Statistik waktu (rata-rata, SD, median, P95) hanya memakai baris SUCCESS; baris gagal tetap dihitung di tingkat kegagalan.</t>
        </is>
      </c>
    </row>
    <row r="72" ht="17" customHeight="1">
      <c r="B72" s="9" t="inlineStr">
        <is>
          <t>• Lain-lain = Total Server dikurangi semua tahap terukur: waktu antre, jeda backoff retry, dan overhead polling.</t>
        </is>
      </c>
    </row>
    <row r="73" ht="31" customHeight="1">
      <c r="B73" s="9" t="inlineStr">
        <is>
          <t>• SD tidak ditampilkan bila n &lt; 2. Uji signifikansi per kelompok durasi (n = 3) tidak disarankan: dengan 3 data per kelompok, uji dua arah tidak mungkin mencapai p &lt; 0,05.</t>
        </is>
      </c>
    </row>
    <row r="74" ht="45" customHeight="1">
      <c r="B74" s="9" t="inlineStr">
        <is>
          <t>• Untuk uji latensi, pakai sheet 'Uji Berpasangan' (Wilcoxon signed-rank): video yang sama di Label A vs B, semua durasi digabung (12 pasangan). Untuk tingkat kegagalan, pakai Fisher's exact test (mis. di JASP atau kalkulator online) dengan jumlah sukses/gagal dari 'Ringkasan Ketahanan'.</t>
        </is>
      </c>
    </row>
    <row r="75" ht="31" customHeight="1">
      <c r="B75" s="9" t="inlineStr">
        <is>
          <t>• Kapasitas: 500 baris di 'Data Pengujian' dan 200 baris di 'Data QnA'. Baris 6–53 sudah diberi label untuk Fase A–C (4 label × 4 durasi × 3 sampel).</t>
        </is>
      </c>
    </row>
  </sheetData>
  <mergeCells count="16">
    <mergeCell ref="B72:D72"/>
    <mergeCell ref="C6:D6"/>
    <mergeCell ref="C7:D7"/>
    <mergeCell ref="B14:D14"/>
    <mergeCell ref="B15:D15"/>
    <mergeCell ref="B75:D75"/>
    <mergeCell ref="B71:D71"/>
    <mergeCell ref="B16:D16"/>
    <mergeCell ref="B17:D17"/>
    <mergeCell ref="B13:D13"/>
    <mergeCell ref="B18:D18"/>
    <mergeCell ref="B73:D73"/>
    <mergeCell ref="B74:D74"/>
    <mergeCell ref="C9:D9"/>
    <mergeCell ref="B12:D12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5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1" customWidth="1" min="4" max="4"/>
    <col width="13" customWidth="1" min="5" max="5"/>
    <col width="10" customWidth="1" min="6" max="6"/>
    <col width="11" customWidth="1" min="7" max="7"/>
    <col width="10" customWidth="1" min="8" max="8"/>
    <col width="12" customWidth="1" min="9" max="9"/>
    <col width="11" customWidth="1" min="10" max="10"/>
    <col width="11" customWidth="1" min="11" max="11"/>
    <col width="15" customWidth="1" min="12" max="12"/>
    <col width="10" customWidth="1" min="13" max="13"/>
    <col width="11" customWidth="1" min="14" max="14"/>
    <col width="12" customWidth="1" min="15" max="15"/>
    <col width="11" customWidth="1" min="16" max="16"/>
    <col width="16" customWidth="1" min="17" max="17"/>
    <col width="13" customWidth="1" min="18" max="18"/>
    <col width="32" customWidth="1" min="19" max="19"/>
    <col width="9" customWidth="1" min="20" max="20"/>
    <col width="14" customWidth="1" min="21" max="21"/>
    <col width="15" customWidth="1" min="22" max="22"/>
    <col width="13" customWidth="1" min="23" max="23"/>
  </cols>
  <sheetData>
    <row r="1">
      <c r="A1" s="1" t="inlineStr">
        <is>
          <t>Data Pengujian — Tahap Analisis Video</t>
        </is>
      </c>
    </row>
    <row r="2">
      <c r="A2" s="2" t="inlineStr">
        <is>
          <t>Satu baris = satu video yang diuji. Isi kolom kuning (atau tempel dari template_video_*.csv mulai sel A6). Kolom abu-abu dihitung otomatis.</t>
        </is>
      </c>
    </row>
    <row r="4">
      <c r="A4" s="20" t="inlineStr">
        <is>
          <t>Identitas Sampel</t>
        </is>
      </c>
      <c r="B4" s="21" t="n"/>
      <c r="C4" s="21" t="n"/>
      <c r="D4" s="21" t="n"/>
      <c r="E4" s="21" t="n"/>
      <c r="F4" s="21" t="n"/>
      <c r="G4" s="21" t="n"/>
      <c r="H4" s="21" t="n"/>
      <c r="I4" s="20" t="inlineStr">
        <is>
          <t>Waktu per Tahap (detik)</t>
        </is>
      </c>
      <c r="J4" s="21" t="n"/>
      <c r="K4" s="21" t="n"/>
      <c r="L4" s="21" t="n"/>
      <c r="M4" s="21" t="n"/>
      <c r="N4" s="21" t="n"/>
      <c r="O4" s="21" t="n"/>
      <c r="P4" s="20" t="inlineStr">
        <is>
          <t>Hasil</t>
        </is>
      </c>
      <c r="Q4" s="21" t="n"/>
      <c r="R4" s="21" t="n"/>
      <c r="S4" s="21" t="n"/>
      <c r="T4" s="20" t="inlineStr">
        <is>
          <t>Dihitung Otomatis</t>
        </is>
      </c>
      <c r="U4" s="21" t="n"/>
      <c r="V4" s="21" t="n"/>
      <c r="W4" s="21" t="n"/>
    </row>
    <row r="5" ht="58" customHeight="1">
      <c r="A5" s="10" t="inlineStr">
        <is>
          <t>No</t>
        </is>
      </c>
      <c r="B5" s="10" t="inlineStr">
        <is>
          <t>Tanggal</t>
        </is>
      </c>
      <c r="C5" s="10" t="inlineStr">
        <is>
          <t>Label Fase</t>
        </is>
      </c>
      <c r="D5" s="10" t="inlineStr">
        <is>
          <t>Mode</t>
        </is>
      </c>
      <c r="E5" s="10" t="inlineStr">
        <is>
          <t>Kode Sampel</t>
        </is>
      </c>
      <c r="F5" s="10" t="inlineStr">
        <is>
          <t>Durasi Target (mnt)</t>
        </is>
      </c>
      <c r="G5" s="10" t="inlineStr">
        <is>
          <t>Durasi Aktual (dtk)</t>
        </is>
      </c>
      <c r="H5" s="10" t="inlineStr">
        <is>
          <t>Ukuran File (MB)</t>
        </is>
      </c>
      <c r="I5" s="10" t="inlineStr">
        <is>
          <t>Terima File di Server (dtk)</t>
        </is>
      </c>
      <c r="J5" s="10" t="inlineStr">
        <is>
          <t>Upload ke Gemini (dtk)</t>
        </is>
      </c>
      <c r="K5" s="10" t="inlineStr">
        <is>
          <t>Tunggu File ACTIVE (dtk)</t>
        </is>
      </c>
      <c r="L5" s="10" t="inlineStr">
        <is>
          <t>generateContent (dtk)</t>
        </is>
      </c>
      <c r="M5" s="10" t="inlineStr">
        <is>
          <t>Simpan ke DB (dtk)</t>
        </is>
      </c>
      <c r="N5" s="10" t="inlineStr">
        <is>
          <t>Total Server (dtk)</t>
        </is>
      </c>
      <c r="O5" s="10" t="inlineStr">
        <is>
          <t>Total Dirasakan User (dtk)</t>
        </is>
      </c>
      <c r="P5" s="10" t="inlineStr">
        <is>
          <t>Jumlah Percobaan generate</t>
        </is>
      </c>
      <c r="Q5" s="10" t="inlineStr">
        <is>
          <t>Status Akhir</t>
        </is>
      </c>
      <c r="R5" s="10" t="inlineStr">
        <is>
          <t>Tahap Gagal</t>
        </is>
      </c>
      <c r="S5" s="10" t="inlineStr">
        <is>
          <t>Catatan</t>
        </is>
      </c>
      <c r="T5" s="10" t="inlineStr">
        <is>
          <t>Sukses (1/0)</t>
        </is>
      </c>
      <c r="U5" s="10" t="inlineStr">
        <is>
          <t>Lain-lain: antre + jeda retry (dtk)</t>
        </is>
      </c>
      <c r="V5" s="10" t="inlineStr">
        <is>
          <t>Porsi generateContent dari Total</t>
        </is>
      </c>
      <c r="W5" s="10" t="inlineStr">
        <is>
          <t>Latensi per Menit Video (dtk/mnt)</t>
        </is>
      </c>
    </row>
    <row r="6">
      <c r="A6" s="22" t="n">
        <v>1</v>
      </c>
      <c r="B6" s="23" t="n"/>
      <c r="C6" s="24" t="inlineStr">
        <is>
          <t>baseline</t>
        </is>
      </c>
      <c r="D6" s="24" t="inlineStr">
        <is>
          <t>baseline</t>
        </is>
      </c>
      <c r="E6" s="24" t="inlineStr">
        <is>
          <t>01min_01</t>
        </is>
      </c>
      <c r="F6" s="22" t="n">
        <v>1</v>
      </c>
      <c r="G6" s="25" t="n"/>
      <c r="H6" s="26" t="n"/>
      <c r="I6" s="26" t="n"/>
      <c r="J6" s="26" t="n"/>
      <c r="K6" s="26" t="n"/>
      <c r="L6" s="26" t="n"/>
      <c r="M6" s="26" t="n"/>
      <c r="N6" s="26" t="n"/>
      <c r="O6" s="26" t="n"/>
      <c r="P6" s="22" t="n"/>
      <c r="Q6" s="24" t="n"/>
      <c r="R6" s="24" t="n"/>
      <c r="S6" s="27" t="n"/>
      <c r="T6" s="28">
        <f>IF(Q6="","",IF(Q6="SUCCESS",1,0))</f>
        <v/>
      </c>
      <c r="U6" s="29">
        <f>IF(OR(N6="",Q6&lt;&gt;"SUCCESS"),"",N6-SUM(I6:M6))</f>
        <v/>
      </c>
      <c r="V6" s="30">
        <f>IF(OR(N6="",N6=0,L6=""),"",L6/N6)</f>
        <v/>
      </c>
      <c r="W6" s="29">
        <f>IF(OR(N6="",G6="",G6=0),"",N6/(G6/60))</f>
        <v/>
      </c>
    </row>
    <row r="7">
      <c r="A7" s="22" t="n">
        <v>2</v>
      </c>
      <c r="B7" s="23" t="n"/>
      <c r="C7" s="24" t="inlineStr">
        <is>
          <t>baseline</t>
        </is>
      </c>
      <c r="D7" s="24" t="inlineStr">
        <is>
          <t>baseline</t>
        </is>
      </c>
      <c r="E7" s="24" t="inlineStr">
        <is>
          <t>01min_02</t>
        </is>
      </c>
      <c r="F7" s="22" t="n">
        <v>1</v>
      </c>
      <c r="G7" s="25" t="n"/>
      <c r="H7" s="26" t="n"/>
      <c r="I7" s="26" t="n"/>
      <c r="J7" s="26" t="n"/>
      <c r="K7" s="26" t="n"/>
      <c r="L7" s="26" t="n"/>
      <c r="M7" s="26" t="n"/>
      <c r="N7" s="26" t="n"/>
      <c r="O7" s="26" t="n"/>
      <c r="P7" s="22" t="n"/>
      <c r="Q7" s="24" t="n"/>
      <c r="R7" s="24" t="n"/>
      <c r="S7" s="27" t="n"/>
      <c r="T7" s="28">
        <f>IF(Q7="","",IF(Q7="SUCCESS",1,0))</f>
        <v/>
      </c>
      <c r="U7" s="29">
        <f>IF(OR(N7="",Q7&lt;&gt;"SUCCESS"),"",N7-SUM(I7:M7))</f>
        <v/>
      </c>
      <c r="V7" s="30">
        <f>IF(OR(N7="",N7=0,L7=""),"",L7/N7)</f>
        <v/>
      </c>
      <c r="W7" s="29">
        <f>IF(OR(N7="",G7="",G7=0),"",N7/(G7/60))</f>
        <v/>
      </c>
    </row>
    <row r="8">
      <c r="A8" s="22" t="n">
        <v>3</v>
      </c>
      <c r="B8" s="23" t="n"/>
      <c r="C8" s="24" t="inlineStr">
        <is>
          <t>baseline</t>
        </is>
      </c>
      <c r="D8" s="24" t="inlineStr">
        <is>
          <t>baseline</t>
        </is>
      </c>
      <c r="E8" s="24" t="inlineStr">
        <is>
          <t>01min_03</t>
        </is>
      </c>
      <c r="F8" s="22" t="n">
        <v>1</v>
      </c>
      <c r="G8" s="25" t="n"/>
      <c r="H8" s="26" t="n"/>
      <c r="I8" s="26" t="n"/>
      <c r="J8" s="26" t="n"/>
      <c r="K8" s="26" t="n"/>
      <c r="L8" s="26" t="n"/>
      <c r="M8" s="26" t="n"/>
      <c r="N8" s="26" t="n"/>
      <c r="O8" s="26" t="n"/>
      <c r="P8" s="22" t="n"/>
      <c r="Q8" s="24" t="n"/>
      <c r="R8" s="24" t="n"/>
      <c r="S8" s="27" t="n"/>
      <c r="T8" s="28">
        <f>IF(Q8="","",IF(Q8="SUCCESS",1,0))</f>
        <v/>
      </c>
      <c r="U8" s="29">
        <f>IF(OR(N8="",Q8&lt;&gt;"SUCCESS"),"",N8-SUM(I8:M8))</f>
        <v/>
      </c>
      <c r="V8" s="30">
        <f>IF(OR(N8="",N8=0,L8=""),"",L8/N8)</f>
        <v/>
      </c>
      <c r="W8" s="29">
        <f>IF(OR(N8="",G8="",G8=0),"",N8/(G8/60))</f>
        <v/>
      </c>
    </row>
    <row r="9">
      <c r="A9" s="22" t="n">
        <v>4</v>
      </c>
      <c r="B9" s="23" t="n"/>
      <c r="C9" s="24" t="inlineStr">
        <is>
          <t>baseline</t>
        </is>
      </c>
      <c r="D9" s="24" t="inlineStr">
        <is>
          <t>baseline</t>
        </is>
      </c>
      <c r="E9" s="24" t="inlineStr">
        <is>
          <t>03min_01</t>
        </is>
      </c>
      <c r="F9" s="22" t="n">
        <v>3</v>
      </c>
      <c r="G9" s="25" t="n"/>
      <c r="H9" s="26" t="n"/>
      <c r="I9" s="26" t="n"/>
      <c r="J9" s="26" t="n"/>
      <c r="K9" s="26" t="n"/>
      <c r="L9" s="26" t="n"/>
      <c r="M9" s="26" t="n"/>
      <c r="N9" s="26" t="n"/>
      <c r="O9" s="26" t="n"/>
      <c r="P9" s="22" t="n"/>
      <c r="Q9" s="24" t="n"/>
      <c r="R9" s="24" t="n"/>
      <c r="S9" s="27" t="n"/>
      <c r="T9" s="28">
        <f>IF(Q9="","",IF(Q9="SUCCESS",1,0))</f>
        <v/>
      </c>
      <c r="U9" s="29">
        <f>IF(OR(N9="",Q9&lt;&gt;"SUCCESS"),"",N9-SUM(I9:M9))</f>
        <v/>
      </c>
      <c r="V9" s="30">
        <f>IF(OR(N9="",N9=0,L9=""),"",L9/N9)</f>
        <v/>
      </c>
      <c r="W9" s="29">
        <f>IF(OR(N9="",G9="",G9=0),"",N9/(G9/60))</f>
        <v/>
      </c>
    </row>
    <row r="10">
      <c r="A10" s="22" t="n">
        <v>5</v>
      </c>
      <c r="B10" s="23" t="n"/>
      <c r="C10" s="24" t="inlineStr">
        <is>
          <t>baseline</t>
        </is>
      </c>
      <c r="D10" s="24" t="inlineStr">
        <is>
          <t>baseline</t>
        </is>
      </c>
      <c r="E10" s="24" t="inlineStr">
        <is>
          <t>03min_02</t>
        </is>
      </c>
      <c r="F10" s="22" t="n">
        <v>3</v>
      </c>
      <c r="G10" s="25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2" t="n"/>
      <c r="Q10" s="24" t="n"/>
      <c r="R10" s="24" t="n"/>
      <c r="S10" s="27" t="n"/>
      <c r="T10" s="28">
        <f>IF(Q10="","",IF(Q10="SUCCESS",1,0))</f>
        <v/>
      </c>
      <c r="U10" s="29">
        <f>IF(OR(N10="",Q10&lt;&gt;"SUCCESS"),"",N10-SUM(I10:M10))</f>
        <v/>
      </c>
      <c r="V10" s="30">
        <f>IF(OR(N10="",N10=0,L10=""),"",L10/N10)</f>
        <v/>
      </c>
      <c r="W10" s="29">
        <f>IF(OR(N10="",G10="",G10=0),"",N10/(G10/60))</f>
        <v/>
      </c>
    </row>
    <row r="11">
      <c r="A11" s="22" t="n">
        <v>6</v>
      </c>
      <c r="B11" s="23" t="n"/>
      <c r="C11" s="24" t="inlineStr">
        <is>
          <t>baseline</t>
        </is>
      </c>
      <c r="D11" s="24" t="inlineStr">
        <is>
          <t>baseline</t>
        </is>
      </c>
      <c r="E11" s="24" t="inlineStr">
        <is>
          <t>03min_03</t>
        </is>
      </c>
      <c r="F11" s="22" t="n">
        <v>3</v>
      </c>
      <c r="G11" s="25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2" t="n"/>
      <c r="Q11" s="24" t="n"/>
      <c r="R11" s="24" t="n"/>
      <c r="S11" s="27" t="n"/>
      <c r="T11" s="28">
        <f>IF(Q11="","",IF(Q11="SUCCESS",1,0))</f>
        <v/>
      </c>
      <c r="U11" s="29">
        <f>IF(OR(N11="",Q11&lt;&gt;"SUCCESS"),"",N11-SUM(I11:M11))</f>
        <v/>
      </c>
      <c r="V11" s="30">
        <f>IF(OR(N11="",N11=0,L11=""),"",L11/N11)</f>
        <v/>
      </c>
      <c r="W11" s="29">
        <f>IF(OR(N11="",G11="",G11=0),"",N11/(G11/60))</f>
        <v/>
      </c>
    </row>
    <row r="12">
      <c r="A12" s="22" t="n">
        <v>7</v>
      </c>
      <c r="B12" s="23" t="n"/>
      <c r="C12" s="24" t="inlineStr">
        <is>
          <t>baseline</t>
        </is>
      </c>
      <c r="D12" s="24" t="inlineStr">
        <is>
          <t>baseline</t>
        </is>
      </c>
      <c r="E12" s="24" t="inlineStr">
        <is>
          <t>05min_01</t>
        </is>
      </c>
      <c r="F12" s="22" t="n">
        <v>5</v>
      </c>
      <c r="G12" s="25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2" t="n"/>
      <c r="Q12" s="24" t="n"/>
      <c r="R12" s="24" t="n"/>
      <c r="S12" s="27" t="n"/>
      <c r="T12" s="28">
        <f>IF(Q12="","",IF(Q12="SUCCESS",1,0))</f>
        <v/>
      </c>
      <c r="U12" s="29">
        <f>IF(OR(N12="",Q12&lt;&gt;"SUCCESS"),"",N12-SUM(I12:M12))</f>
        <v/>
      </c>
      <c r="V12" s="30">
        <f>IF(OR(N12="",N12=0,L12=""),"",L12/N12)</f>
        <v/>
      </c>
      <c r="W12" s="29">
        <f>IF(OR(N12="",G12="",G12=0),"",N12/(G12/60))</f>
        <v/>
      </c>
    </row>
    <row r="13">
      <c r="A13" s="22" t="n">
        <v>8</v>
      </c>
      <c r="B13" s="23" t="n"/>
      <c r="C13" s="24" t="inlineStr">
        <is>
          <t>baseline</t>
        </is>
      </c>
      <c r="D13" s="24" t="inlineStr">
        <is>
          <t>baseline</t>
        </is>
      </c>
      <c r="E13" s="24" t="inlineStr">
        <is>
          <t>05min_02</t>
        </is>
      </c>
      <c r="F13" s="22" t="n">
        <v>5</v>
      </c>
      <c r="G13" s="25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2" t="n"/>
      <c r="Q13" s="24" t="n"/>
      <c r="R13" s="24" t="n"/>
      <c r="S13" s="27" t="n"/>
      <c r="T13" s="28">
        <f>IF(Q13="","",IF(Q13="SUCCESS",1,0))</f>
        <v/>
      </c>
      <c r="U13" s="29">
        <f>IF(OR(N13="",Q13&lt;&gt;"SUCCESS"),"",N13-SUM(I13:M13))</f>
        <v/>
      </c>
      <c r="V13" s="30">
        <f>IF(OR(N13="",N13=0,L13=""),"",L13/N13)</f>
        <v/>
      </c>
      <c r="W13" s="29">
        <f>IF(OR(N13="",G13="",G13=0),"",N13/(G13/60))</f>
        <v/>
      </c>
    </row>
    <row r="14">
      <c r="A14" s="22" t="n">
        <v>9</v>
      </c>
      <c r="B14" s="23" t="n"/>
      <c r="C14" s="24" t="inlineStr">
        <is>
          <t>baseline</t>
        </is>
      </c>
      <c r="D14" s="24" t="inlineStr">
        <is>
          <t>baseline</t>
        </is>
      </c>
      <c r="E14" s="24" t="inlineStr">
        <is>
          <t>05min_03</t>
        </is>
      </c>
      <c r="F14" s="22" t="n">
        <v>5</v>
      </c>
      <c r="G14" s="25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2" t="n"/>
      <c r="Q14" s="24" t="n"/>
      <c r="R14" s="24" t="n"/>
      <c r="S14" s="27" t="n"/>
      <c r="T14" s="28">
        <f>IF(Q14="","",IF(Q14="SUCCESS",1,0))</f>
        <v/>
      </c>
      <c r="U14" s="29">
        <f>IF(OR(N14="",Q14&lt;&gt;"SUCCESS"),"",N14-SUM(I14:M14))</f>
        <v/>
      </c>
      <c r="V14" s="30">
        <f>IF(OR(N14="",N14=0,L14=""),"",L14/N14)</f>
        <v/>
      </c>
      <c r="W14" s="29">
        <f>IF(OR(N14="",G14="",G14=0),"",N14/(G14/60))</f>
        <v/>
      </c>
    </row>
    <row r="15">
      <c r="A15" s="22" t="n">
        <v>10</v>
      </c>
      <c r="B15" s="23" t="n"/>
      <c r="C15" s="24" t="inlineStr">
        <is>
          <t>baseline</t>
        </is>
      </c>
      <c r="D15" s="24" t="inlineStr">
        <is>
          <t>baseline</t>
        </is>
      </c>
      <c r="E15" s="24" t="inlineStr">
        <is>
          <t>08min_01</t>
        </is>
      </c>
      <c r="F15" s="22" t="n">
        <v>8</v>
      </c>
      <c r="G15" s="25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2" t="n"/>
      <c r="Q15" s="24" t="n"/>
      <c r="R15" s="24" t="n"/>
      <c r="S15" s="27" t="n"/>
      <c r="T15" s="28">
        <f>IF(Q15="","",IF(Q15="SUCCESS",1,0))</f>
        <v/>
      </c>
      <c r="U15" s="29">
        <f>IF(OR(N15="",Q15&lt;&gt;"SUCCESS"),"",N15-SUM(I15:M15))</f>
        <v/>
      </c>
      <c r="V15" s="30">
        <f>IF(OR(N15="",N15=0,L15=""),"",L15/N15)</f>
        <v/>
      </c>
      <c r="W15" s="29">
        <f>IF(OR(N15="",G15="",G15=0),"",N15/(G15/60))</f>
        <v/>
      </c>
    </row>
    <row r="16">
      <c r="A16" s="22" t="n">
        <v>11</v>
      </c>
      <c r="B16" s="23" t="n"/>
      <c r="C16" s="24" t="inlineStr">
        <is>
          <t>baseline</t>
        </is>
      </c>
      <c r="D16" s="24" t="inlineStr">
        <is>
          <t>baseline</t>
        </is>
      </c>
      <c r="E16" s="24" t="inlineStr">
        <is>
          <t>08min_02</t>
        </is>
      </c>
      <c r="F16" s="22" t="n">
        <v>8</v>
      </c>
      <c r="G16" s="25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2" t="n"/>
      <c r="Q16" s="24" t="n"/>
      <c r="R16" s="24" t="n"/>
      <c r="S16" s="27" t="n"/>
      <c r="T16" s="28">
        <f>IF(Q16="","",IF(Q16="SUCCESS",1,0))</f>
        <v/>
      </c>
      <c r="U16" s="29">
        <f>IF(OR(N16="",Q16&lt;&gt;"SUCCESS"),"",N16-SUM(I16:M16))</f>
        <v/>
      </c>
      <c r="V16" s="30">
        <f>IF(OR(N16="",N16=0,L16=""),"",L16/N16)</f>
        <v/>
      </c>
      <c r="W16" s="29">
        <f>IF(OR(N16="",G16="",G16=0),"",N16/(G16/60))</f>
        <v/>
      </c>
    </row>
    <row r="17">
      <c r="A17" s="22" t="n">
        <v>12</v>
      </c>
      <c r="B17" s="23" t="n"/>
      <c r="C17" s="24" t="inlineStr">
        <is>
          <t>baseline</t>
        </is>
      </c>
      <c r="D17" s="24" t="inlineStr">
        <is>
          <t>baseline</t>
        </is>
      </c>
      <c r="E17" s="24" t="inlineStr">
        <is>
          <t>08min_03</t>
        </is>
      </c>
      <c r="F17" s="22" t="n">
        <v>8</v>
      </c>
      <c r="G17" s="25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2" t="n"/>
      <c r="Q17" s="24" t="n"/>
      <c r="R17" s="24" t="n"/>
      <c r="S17" s="27" t="n"/>
      <c r="T17" s="28">
        <f>IF(Q17="","",IF(Q17="SUCCESS",1,0))</f>
        <v/>
      </c>
      <c r="U17" s="29">
        <f>IF(OR(N17="",Q17&lt;&gt;"SUCCESS"),"",N17-SUM(I17:M17))</f>
        <v/>
      </c>
      <c r="V17" s="30">
        <f>IF(OR(N17="",N17=0,L17=""),"",L17/N17)</f>
        <v/>
      </c>
      <c r="W17" s="29">
        <f>IF(OR(N17="",G17="",G17=0),"",N17/(G17/60))</f>
        <v/>
      </c>
    </row>
    <row r="18">
      <c r="A18" s="22" t="n">
        <v>13</v>
      </c>
      <c r="B18" s="23" t="n"/>
      <c r="C18" s="24" t="inlineStr">
        <is>
          <t>optimized</t>
        </is>
      </c>
      <c r="D18" s="24" t="inlineStr">
        <is>
          <t>optimized</t>
        </is>
      </c>
      <c r="E18" s="24" t="inlineStr">
        <is>
          <t>01min_01</t>
        </is>
      </c>
      <c r="F18" s="22" t="n">
        <v>1</v>
      </c>
      <c r="G18" s="25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2" t="n"/>
      <c r="Q18" s="24" t="n"/>
      <c r="R18" s="24" t="n"/>
      <c r="S18" s="27" t="n"/>
      <c r="T18" s="28">
        <f>IF(Q18="","",IF(Q18="SUCCESS",1,0))</f>
        <v/>
      </c>
      <c r="U18" s="29">
        <f>IF(OR(N18="",Q18&lt;&gt;"SUCCESS"),"",N18-SUM(I18:M18))</f>
        <v/>
      </c>
      <c r="V18" s="30">
        <f>IF(OR(N18="",N18=0,L18=""),"",L18/N18)</f>
        <v/>
      </c>
      <c r="W18" s="29">
        <f>IF(OR(N18="",G18="",G18=0),"",N18/(G18/60))</f>
        <v/>
      </c>
    </row>
    <row r="19">
      <c r="A19" s="22" t="n">
        <v>14</v>
      </c>
      <c r="B19" s="23" t="n"/>
      <c r="C19" s="24" t="inlineStr">
        <is>
          <t>optimized</t>
        </is>
      </c>
      <c r="D19" s="24" t="inlineStr">
        <is>
          <t>optimized</t>
        </is>
      </c>
      <c r="E19" s="24" t="inlineStr">
        <is>
          <t>01min_02</t>
        </is>
      </c>
      <c r="F19" s="22" t="n">
        <v>1</v>
      </c>
      <c r="G19" s="25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2" t="n"/>
      <c r="Q19" s="24" t="n"/>
      <c r="R19" s="24" t="n"/>
      <c r="S19" s="27" t="n"/>
      <c r="T19" s="28">
        <f>IF(Q19="","",IF(Q19="SUCCESS",1,0))</f>
        <v/>
      </c>
      <c r="U19" s="29">
        <f>IF(OR(N19="",Q19&lt;&gt;"SUCCESS"),"",N19-SUM(I19:M19))</f>
        <v/>
      </c>
      <c r="V19" s="30">
        <f>IF(OR(N19="",N19=0,L19=""),"",L19/N19)</f>
        <v/>
      </c>
      <c r="W19" s="29">
        <f>IF(OR(N19="",G19="",G19=0),"",N19/(G19/60))</f>
        <v/>
      </c>
    </row>
    <row r="20">
      <c r="A20" s="22" t="n">
        <v>15</v>
      </c>
      <c r="B20" s="23" t="n"/>
      <c r="C20" s="24" t="inlineStr">
        <is>
          <t>optimized</t>
        </is>
      </c>
      <c r="D20" s="24" t="inlineStr">
        <is>
          <t>optimized</t>
        </is>
      </c>
      <c r="E20" s="24" t="inlineStr">
        <is>
          <t>01min_03</t>
        </is>
      </c>
      <c r="F20" s="22" t="n">
        <v>1</v>
      </c>
      <c r="G20" s="25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2" t="n"/>
      <c r="Q20" s="24" t="n"/>
      <c r="R20" s="24" t="n"/>
      <c r="S20" s="27" t="n"/>
      <c r="T20" s="28">
        <f>IF(Q20="","",IF(Q20="SUCCESS",1,0))</f>
        <v/>
      </c>
      <c r="U20" s="29">
        <f>IF(OR(N20="",Q20&lt;&gt;"SUCCESS"),"",N20-SUM(I20:M20))</f>
        <v/>
      </c>
      <c r="V20" s="30">
        <f>IF(OR(N20="",N20=0,L20=""),"",L20/N20)</f>
        <v/>
      </c>
      <c r="W20" s="29">
        <f>IF(OR(N20="",G20="",G20=0),"",N20/(G20/60))</f>
        <v/>
      </c>
    </row>
    <row r="21">
      <c r="A21" s="22" t="n">
        <v>16</v>
      </c>
      <c r="B21" s="23" t="n"/>
      <c r="C21" s="24" t="inlineStr">
        <is>
          <t>optimized</t>
        </is>
      </c>
      <c r="D21" s="24" t="inlineStr">
        <is>
          <t>optimized</t>
        </is>
      </c>
      <c r="E21" s="24" t="inlineStr">
        <is>
          <t>03min_01</t>
        </is>
      </c>
      <c r="F21" s="22" t="n">
        <v>3</v>
      </c>
      <c r="G21" s="25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2" t="n"/>
      <c r="Q21" s="24" t="n"/>
      <c r="R21" s="24" t="n"/>
      <c r="S21" s="27" t="n"/>
      <c r="T21" s="28">
        <f>IF(Q21="","",IF(Q21="SUCCESS",1,0))</f>
        <v/>
      </c>
      <c r="U21" s="29">
        <f>IF(OR(N21="",Q21&lt;&gt;"SUCCESS"),"",N21-SUM(I21:M21))</f>
        <v/>
      </c>
      <c r="V21" s="30">
        <f>IF(OR(N21="",N21=0,L21=""),"",L21/N21)</f>
        <v/>
      </c>
      <c r="W21" s="29">
        <f>IF(OR(N21="",G21="",G21=0),"",N21/(G21/60))</f>
        <v/>
      </c>
    </row>
    <row r="22">
      <c r="A22" s="22" t="n">
        <v>17</v>
      </c>
      <c r="B22" s="23" t="n"/>
      <c r="C22" s="24" t="inlineStr">
        <is>
          <t>optimized</t>
        </is>
      </c>
      <c r="D22" s="24" t="inlineStr">
        <is>
          <t>optimized</t>
        </is>
      </c>
      <c r="E22" s="24" t="inlineStr">
        <is>
          <t>03min_02</t>
        </is>
      </c>
      <c r="F22" s="22" t="n">
        <v>3</v>
      </c>
      <c r="G22" s="25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2" t="n"/>
      <c r="Q22" s="24" t="n"/>
      <c r="R22" s="24" t="n"/>
      <c r="S22" s="27" t="n"/>
      <c r="T22" s="28">
        <f>IF(Q22="","",IF(Q22="SUCCESS",1,0))</f>
        <v/>
      </c>
      <c r="U22" s="29">
        <f>IF(OR(N22="",Q22&lt;&gt;"SUCCESS"),"",N22-SUM(I22:M22))</f>
        <v/>
      </c>
      <c r="V22" s="30">
        <f>IF(OR(N22="",N22=0,L22=""),"",L22/N22)</f>
        <v/>
      </c>
      <c r="W22" s="29">
        <f>IF(OR(N22="",G22="",G22=0),"",N22/(G22/60))</f>
        <v/>
      </c>
    </row>
    <row r="23">
      <c r="A23" s="22" t="n">
        <v>18</v>
      </c>
      <c r="B23" s="23" t="n"/>
      <c r="C23" s="24" t="inlineStr">
        <is>
          <t>optimized</t>
        </is>
      </c>
      <c r="D23" s="24" t="inlineStr">
        <is>
          <t>optimized</t>
        </is>
      </c>
      <c r="E23" s="24" t="inlineStr">
        <is>
          <t>03min_03</t>
        </is>
      </c>
      <c r="F23" s="22" t="n">
        <v>3</v>
      </c>
      <c r="G23" s="25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2" t="n"/>
      <c r="Q23" s="24" t="n"/>
      <c r="R23" s="24" t="n"/>
      <c r="S23" s="27" t="n"/>
      <c r="T23" s="28">
        <f>IF(Q23="","",IF(Q23="SUCCESS",1,0))</f>
        <v/>
      </c>
      <c r="U23" s="29">
        <f>IF(OR(N23="",Q23&lt;&gt;"SUCCESS"),"",N23-SUM(I23:M23))</f>
        <v/>
      </c>
      <c r="V23" s="30">
        <f>IF(OR(N23="",N23=0,L23=""),"",L23/N23)</f>
        <v/>
      </c>
      <c r="W23" s="29">
        <f>IF(OR(N23="",G23="",G23=0),"",N23/(G23/60))</f>
        <v/>
      </c>
    </row>
    <row r="24">
      <c r="A24" s="22" t="n">
        <v>19</v>
      </c>
      <c r="B24" s="23" t="n"/>
      <c r="C24" s="24" t="inlineStr">
        <is>
          <t>optimized</t>
        </is>
      </c>
      <c r="D24" s="24" t="inlineStr">
        <is>
          <t>optimized</t>
        </is>
      </c>
      <c r="E24" s="24" t="inlineStr">
        <is>
          <t>05min_01</t>
        </is>
      </c>
      <c r="F24" s="22" t="n">
        <v>5</v>
      </c>
      <c r="G24" s="25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2" t="n"/>
      <c r="Q24" s="24" t="n"/>
      <c r="R24" s="24" t="n"/>
      <c r="S24" s="27" t="n"/>
      <c r="T24" s="28">
        <f>IF(Q24="","",IF(Q24="SUCCESS",1,0))</f>
        <v/>
      </c>
      <c r="U24" s="29">
        <f>IF(OR(N24="",Q24&lt;&gt;"SUCCESS"),"",N24-SUM(I24:M24))</f>
        <v/>
      </c>
      <c r="V24" s="30">
        <f>IF(OR(N24="",N24=0,L24=""),"",L24/N24)</f>
        <v/>
      </c>
      <c r="W24" s="29">
        <f>IF(OR(N24="",G24="",G24=0),"",N24/(G24/60))</f>
        <v/>
      </c>
    </row>
    <row r="25">
      <c r="A25" s="22" t="n">
        <v>20</v>
      </c>
      <c r="B25" s="23" t="n"/>
      <c r="C25" s="24" t="inlineStr">
        <is>
          <t>optimized</t>
        </is>
      </c>
      <c r="D25" s="24" t="inlineStr">
        <is>
          <t>optimized</t>
        </is>
      </c>
      <c r="E25" s="24" t="inlineStr">
        <is>
          <t>05min_02</t>
        </is>
      </c>
      <c r="F25" s="22" t="n">
        <v>5</v>
      </c>
      <c r="G25" s="25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2" t="n"/>
      <c r="Q25" s="24" t="n"/>
      <c r="R25" s="24" t="n"/>
      <c r="S25" s="27" t="n"/>
      <c r="T25" s="28">
        <f>IF(Q25="","",IF(Q25="SUCCESS",1,0))</f>
        <v/>
      </c>
      <c r="U25" s="29">
        <f>IF(OR(N25="",Q25&lt;&gt;"SUCCESS"),"",N25-SUM(I25:M25))</f>
        <v/>
      </c>
      <c r="V25" s="30">
        <f>IF(OR(N25="",N25=0,L25=""),"",L25/N25)</f>
        <v/>
      </c>
      <c r="W25" s="29">
        <f>IF(OR(N25="",G25="",G25=0),"",N25/(G25/60))</f>
        <v/>
      </c>
    </row>
    <row r="26">
      <c r="A26" s="22" t="n">
        <v>21</v>
      </c>
      <c r="B26" s="23" t="n"/>
      <c r="C26" s="24" t="inlineStr">
        <is>
          <t>optimized</t>
        </is>
      </c>
      <c r="D26" s="24" t="inlineStr">
        <is>
          <t>optimized</t>
        </is>
      </c>
      <c r="E26" s="24" t="inlineStr">
        <is>
          <t>05min_03</t>
        </is>
      </c>
      <c r="F26" s="22" t="n">
        <v>5</v>
      </c>
      <c r="G26" s="25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2" t="n"/>
      <c r="Q26" s="24" t="n"/>
      <c r="R26" s="24" t="n"/>
      <c r="S26" s="27" t="n"/>
      <c r="T26" s="28">
        <f>IF(Q26="","",IF(Q26="SUCCESS",1,0))</f>
        <v/>
      </c>
      <c r="U26" s="29">
        <f>IF(OR(N26="",Q26&lt;&gt;"SUCCESS"),"",N26-SUM(I26:M26))</f>
        <v/>
      </c>
      <c r="V26" s="30">
        <f>IF(OR(N26="",N26=0,L26=""),"",L26/N26)</f>
        <v/>
      </c>
      <c r="W26" s="29">
        <f>IF(OR(N26="",G26="",G26=0),"",N26/(G26/60))</f>
        <v/>
      </c>
    </row>
    <row r="27">
      <c r="A27" s="22" t="n">
        <v>22</v>
      </c>
      <c r="B27" s="23" t="n"/>
      <c r="C27" s="24" t="inlineStr">
        <is>
          <t>optimized</t>
        </is>
      </c>
      <c r="D27" s="24" t="inlineStr">
        <is>
          <t>optimized</t>
        </is>
      </c>
      <c r="E27" s="24" t="inlineStr">
        <is>
          <t>08min_01</t>
        </is>
      </c>
      <c r="F27" s="22" t="n">
        <v>8</v>
      </c>
      <c r="G27" s="25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2" t="n"/>
      <c r="Q27" s="24" t="n"/>
      <c r="R27" s="24" t="n"/>
      <c r="S27" s="27" t="n"/>
      <c r="T27" s="28">
        <f>IF(Q27="","",IF(Q27="SUCCESS",1,0))</f>
        <v/>
      </c>
      <c r="U27" s="29">
        <f>IF(OR(N27="",Q27&lt;&gt;"SUCCESS"),"",N27-SUM(I27:M27))</f>
        <v/>
      </c>
      <c r="V27" s="30">
        <f>IF(OR(N27="",N27=0,L27=""),"",L27/N27)</f>
        <v/>
      </c>
      <c r="W27" s="29">
        <f>IF(OR(N27="",G27="",G27=0),"",N27/(G27/60))</f>
        <v/>
      </c>
    </row>
    <row r="28">
      <c r="A28" s="22" t="n">
        <v>23</v>
      </c>
      <c r="B28" s="23" t="n"/>
      <c r="C28" s="24" t="inlineStr">
        <is>
          <t>optimized</t>
        </is>
      </c>
      <c r="D28" s="24" t="inlineStr">
        <is>
          <t>optimized</t>
        </is>
      </c>
      <c r="E28" s="24" t="inlineStr">
        <is>
          <t>08min_02</t>
        </is>
      </c>
      <c r="F28" s="22" t="n">
        <v>8</v>
      </c>
      <c r="G28" s="25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2" t="n"/>
      <c r="Q28" s="24" t="n"/>
      <c r="R28" s="24" t="n"/>
      <c r="S28" s="27" t="n"/>
      <c r="T28" s="28">
        <f>IF(Q28="","",IF(Q28="SUCCESS",1,0))</f>
        <v/>
      </c>
      <c r="U28" s="29">
        <f>IF(OR(N28="",Q28&lt;&gt;"SUCCESS"),"",N28-SUM(I28:M28))</f>
        <v/>
      </c>
      <c r="V28" s="30">
        <f>IF(OR(N28="",N28=0,L28=""),"",L28/N28)</f>
        <v/>
      </c>
      <c r="W28" s="29">
        <f>IF(OR(N28="",G28="",G28=0),"",N28/(G28/60))</f>
        <v/>
      </c>
    </row>
    <row r="29">
      <c r="A29" s="22" t="n">
        <v>24</v>
      </c>
      <c r="B29" s="23" t="n"/>
      <c r="C29" s="24" t="inlineStr">
        <is>
          <t>optimized</t>
        </is>
      </c>
      <c r="D29" s="24" t="inlineStr">
        <is>
          <t>optimized</t>
        </is>
      </c>
      <c r="E29" s="24" t="inlineStr">
        <is>
          <t>08min_03</t>
        </is>
      </c>
      <c r="F29" s="22" t="n">
        <v>8</v>
      </c>
      <c r="G29" s="25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2" t="n"/>
      <c r="Q29" s="24" t="n"/>
      <c r="R29" s="24" t="n"/>
      <c r="S29" s="27" t="n"/>
      <c r="T29" s="28">
        <f>IF(Q29="","",IF(Q29="SUCCESS",1,0))</f>
        <v/>
      </c>
      <c r="U29" s="29">
        <f>IF(OR(N29="",Q29&lt;&gt;"SUCCESS"),"",N29-SUM(I29:M29))</f>
        <v/>
      </c>
      <c r="V29" s="30">
        <f>IF(OR(N29="",N29=0,L29=""),"",L29/N29)</f>
        <v/>
      </c>
      <c r="W29" s="29">
        <f>IF(OR(N29="",G29="",G29=0),"",N29/(G29/60))</f>
        <v/>
      </c>
    </row>
    <row r="30">
      <c r="A30" s="22" t="n">
        <v>25</v>
      </c>
      <c r="B30" s="23" t="n"/>
      <c r="C30" s="24" t="inlineStr">
        <is>
          <t>baseline-fault30</t>
        </is>
      </c>
      <c r="D30" s="24" t="inlineStr">
        <is>
          <t>baseline</t>
        </is>
      </c>
      <c r="E30" s="24" t="inlineStr">
        <is>
          <t>01min_01</t>
        </is>
      </c>
      <c r="F30" s="22" t="n">
        <v>1</v>
      </c>
      <c r="G30" s="25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2" t="n"/>
      <c r="Q30" s="24" t="n"/>
      <c r="R30" s="24" t="n"/>
      <c r="S30" s="27" t="n"/>
      <c r="T30" s="28">
        <f>IF(Q30="","",IF(Q30="SUCCESS",1,0))</f>
        <v/>
      </c>
      <c r="U30" s="29">
        <f>IF(OR(N30="",Q30&lt;&gt;"SUCCESS"),"",N30-SUM(I30:M30))</f>
        <v/>
      </c>
      <c r="V30" s="30">
        <f>IF(OR(N30="",N30=0,L30=""),"",L30/N30)</f>
        <v/>
      </c>
      <c r="W30" s="29">
        <f>IF(OR(N30="",G30="",G30=0),"",N30/(G30/60))</f>
        <v/>
      </c>
    </row>
    <row r="31">
      <c r="A31" s="22" t="n">
        <v>26</v>
      </c>
      <c r="B31" s="23" t="n"/>
      <c r="C31" s="24" t="inlineStr">
        <is>
          <t>baseline-fault30</t>
        </is>
      </c>
      <c r="D31" s="24" t="inlineStr">
        <is>
          <t>baseline</t>
        </is>
      </c>
      <c r="E31" s="24" t="inlineStr">
        <is>
          <t>01min_02</t>
        </is>
      </c>
      <c r="F31" s="22" t="n">
        <v>1</v>
      </c>
      <c r="G31" s="25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2" t="n"/>
      <c r="Q31" s="24" t="n"/>
      <c r="R31" s="24" t="n"/>
      <c r="S31" s="27" t="n"/>
      <c r="T31" s="28">
        <f>IF(Q31="","",IF(Q31="SUCCESS",1,0))</f>
        <v/>
      </c>
      <c r="U31" s="29">
        <f>IF(OR(N31="",Q31&lt;&gt;"SUCCESS"),"",N31-SUM(I31:M31))</f>
        <v/>
      </c>
      <c r="V31" s="30">
        <f>IF(OR(N31="",N31=0,L31=""),"",L31/N31)</f>
        <v/>
      </c>
      <c r="W31" s="29">
        <f>IF(OR(N31="",G31="",G31=0),"",N31/(G31/60))</f>
        <v/>
      </c>
    </row>
    <row r="32">
      <c r="A32" s="22" t="n">
        <v>27</v>
      </c>
      <c r="B32" s="23" t="n"/>
      <c r="C32" s="24" t="inlineStr">
        <is>
          <t>baseline-fault30</t>
        </is>
      </c>
      <c r="D32" s="24" t="inlineStr">
        <is>
          <t>baseline</t>
        </is>
      </c>
      <c r="E32" s="24" t="inlineStr">
        <is>
          <t>01min_03</t>
        </is>
      </c>
      <c r="F32" s="22" t="n">
        <v>1</v>
      </c>
      <c r="G32" s="25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2" t="n"/>
      <c r="Q32" s="24" t="n"/>
      <c r="R32" s="24" t="n"/>
      <c r="S32" s="27" t="n"/>
      <c r="T32" s="28">
        <f>IF(Q32="","",IF(Q32="SUCCESS",1,0))</f>
        <v/>
      </c>
      <c r="U32" s="29">
        <f>IF(OR(N32="",Q32&lt;&gt;"SUCCESS"),"",N32-SUM(I32:M32))</f>
        <v/>
      </c>
      <c r="V32" s="30">
        <f>IF(OR(N32="",N32=0,L32=""),"",L32/N32)</f>
        <v/>
      </c>
      <c r="W32" s="29">
        <f>IF(OR(N32="",G32="",G32=0),"",N32/(G32/60))</f>
        <v/>
      </c>
    </row>
    <row r="33">
      <c r="A33" s="22" t="n">
        <v>28</v>
      </c>
      <c r="B33" s="23" t="n"/>
      <c r="C33" s="24" t="inlineStr">
        <is>
          <t>baseline-fault30</t>
        </is>
      </c>
      <c r="D33" s="24" t="inlineStr">
        <is>
          <t>baseline</t>
        </is>
      </c>
      <c r="E33" s="24" t="inlineStr">
        <is>
          <t>03min_01</t>
        </is>
      </c>
      <c r="F33" s="22" t="n">
        <v>3</v>
      </c>
      <c r="G33" s="25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2" t="n"/>
      <c r="Q33" s="24" t="n"/>
      <c r="R33" s="24" t="n"/>
      <c r="S33" s="27" t="n"/>
      <c r="T33" s="28">
        <f>IF(Q33="","",IF(Q33="SUCCESS",1,0))</f>
        <v/>
      </c>
      <c r="U33" s="29">
        <f>IF(OR(N33="",Q33&lt;&gt;"SUCCESS"),"",N33-SUM(I33:M33))</f>
        <v/>
      </c>
      <c r="V33" s="30">
        <f>IF(OR(N33="",N33=0,L33=""),"",L33/N33)</f>
        <v/>
      </c>
      <c r="W33" s="29">
        <f>IF(OR(N33="",G33="",G33=0),"",N33/(G33/60))</f>
        <v/>
      </c>
    </row>
    <row r="34">
      <c r="A34" s="22" t="n">
        <v>29</v>
      </c>
      <c r="B34" s="23" t="n"/>
      <c r="C34" s="24" t="inlineStr">
        <is>
          <t>baseline-fault30</t>
        </is>
      </c>
      <c r="D34" s="24" t="inlineStr">
        <is>
          <t>baseline</t>
        </is>
      </c>
      <c r="E34" s="24" t="inlineStr">
        <is>
          <t>03min_02</t>
        </is>
      </c>
      <c r="F34" s="22" t="n">
        <v>3</v>
      </c>
      <c r="G34" s="25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2" t="n"/>
      <c r="Q34" s="24" t="n"/>
      <c r="R34" s="24" t="n"/>
      <c r="S34" s="27" t="n"/>
      <c r="T34" s="28">
        <f>IF(Q34="","",IF(Q34="SUCCESS",1,0))</f>
        <v/>
      </c>
      <c r="U34" s="29">
        <f>IF(OR(N34="",Q34&lt;&gt;"SUCCESS"),"",N34-SUM(I34:M34))</f>
        <v/>
      </c>
      <c r="V34" s="30">
        <f>IF(OR(N34="",N34=0,L34=""),"",L34/N34)</f>
        <v/>
      </c>
      <c r="W34" s="29">
        <f>IF(OR(N34="",G34="",G34=0),"",N34/(G34/60))</f>
        <v/>
      </c>
    </row>
    <row r="35">
      <c r="A35" s="22" t="n">
        <v>30</v>
      </c>
      <c r="B35" s="23" t="n"/>
      <c r="C35" s="24" t="inlineStr">
        <is>
          <t>baseline-fault30</t>
        </is>
      </c>
      <c r="D35" s="24" t="inlineStr">
        <is>
          <t>baseline</t>
        </is>
      </c>
      <c r="E35" s="24" t="inlineStr">
        <is>
          <t>03min_03</t>
        </is>
      </c>
      <c r="F35" s="22" t="n">
        <v>3</v>
      </c>
      <c r="G35" s="25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2" t="n"/>
      <c r="Q35" s="24" t="n"/>
      <c r="R35" s="24" t="n"/>
      <c r="S35" s="27" t="n"/>
      <c r="T35" s="28">
        <f>IF(Q35="","",IF(Q35="SUCCESS",1,0))</f>
        <v/>
      </c>
      <c r="U35" s="29">
        <f>IF(OR(N35="",Q35&lt;&gt;"SUCCESS"),"",N35-SUM(I35:M35))</f>
        <v/>
      </c>
      <c r="V35" s="30">
        <f>IF(OR(N35="",N35=0,L35=""),"",L35/N35)</f>
        <v/>
      </c>
      <c r="W35" s="29">
        <f>IF(OR(N35="",G35="",G35=0),"",N35/(G35/60))</f>
        <v/>
      </c>
    </row>
    <row r="36">
      <c r="A36" s="22" t="n">
        <v>31</v>
      </c>
      <c r="B36" s="23" t="n"/>
      <c r="C36" s="24" t="inlineStr">
        <is>
          <t>baseline-fault30</t>
        </is>
      </c>
      <c r="D36" s="24" t="inlineStr">
        <is>
          <t>baseline</t>
        </is>
      </c>
      <c r="E36" s="24" t="inlineStr">
        <is>
          <t>05min_01</t>
        </is>
      </c>
      <c r="F36" s="22" t="n">
        <v>5</v>
      </c>
      <c r="G36" s="25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2" t="n"/>
      <c r="Q36" s="24" t="n"/>
      <c r="R36" s="24" t="n"/>
      <c r="S36" s="27" t="n"/>
      <c r="T36" s="28">
        <f>IF(Q36="","",IF(Q36="SUCCESS",1,0))</f>
        <v/>
      </c>
      <c r="U36" s="29">
        <f>IF(OR(N36="",Q36&lt;&gt;"SUCCESS"),"",N36-SUM(I36:M36))</f>
        <v/>
      </c>
      <c r="V36" s="30">
        <f>IF(OR(N36="",N36=0,L36=""),"",L36/N36)</f>
        <v/>
      </c>
      <c r="W36" s="29">
        <f>IF(OR(N36="",G36="",G36=0),"",N36/(G36/60))</f>
        <v/>
      </c>
    </row>
    <row r="37">
      <c r="A37" s="22" t="n">
        <v>32</v>
      </c>
      <c r="B37" s="23" t="n"/>
      <c r="C37" s="24" t="inlineStr">
        <is>
          <t>baseline-fault30</t>
        </is>
      </c>
      <c r="D37" s="24" t="inlineStr">
        <is>
          <t>baseline</t>
        </is>
      </c>
      <c r="E37" s="24" t="inlineStr">
        <is>
          <t>05min_02</t>
        </is>
      </c>
      <c r="F37" s="22" t="n">
        <v>5</v>
      </c>
      <c r="G37" s="25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2" t="n"/>
      <c r="Q37" s="24" t="n"/>
      <c r="R37" s="24" t="n"/>
      <c r="S37" s="27" t="n"/>
      <c r="T37" s="28">
        <f>IF(Q37="","",IF(Q37="SUCCESS",1,0))</f>
        <v/>
      </c>
      <c r="U37" s="29">
        <f>IF(OR(N37="",Q37&lt;&gt;"SUCCESS"),"",N37-SUM(I37:M37))</f>
        <v/>
      </c>
      <c r="V37" s="30">
        <f>IF(OR(N37="",N37=0,L37=""),"",L37/N37)</f>
        <v/>
      </c>
      <c r="W37" s="29">
        <f>IF(OR(N37="",G37="",G37=0),"",N37/(G37/60))</f>
        <v/>
      </c>
    </row>
    <row r="38">
      <c r="A38" s="22" t="n">
        <v>33</v>
      </c>
      <c r="B38" s="23" t="n"/>
      <c r="C38" s="24" t="inlineStr">
        <is>
          <t>baseline-fault30</t>
        </is>
      </c>
      <c r="D38" s="24" t="inlineStr">
        <is>
          <t>baseline</t>
        </is>
      </c>
      <c r="E38" s="24" t="inlineStr">
        <is>
          <t>05min_03</t>
        </is>
      </c>
      <c r="F38" s="22" t="n">
        <v>5</v>
      </c>
      <c r="G38" s="25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2" t="n"/>
      <c r="Q38" s="24" t="n"/>
      <c r="R38" s="24" t="n"/>
      <c r="S38" s="27" t="n"/>
      <c r="T38" s="28">
        <f>IF(Q38="","",IF(Q38="SUCCESS",1,0))</f>
        <v/>
      </c>
      <c r="U38" s="29">
        <f>IF(OR(N38="",Q38&lt;&gt;"SUCCESS"),"",N38-SUM(I38:M38))</f>
        <v/>
      </c>
      <c r="V38" s="30">
        <f>IF(OR(N38="",N38=0,L38=""),"",L38/N38)</f>
        <v/>
      </c>
      <c r="W38" s="29">
        <f>IF(OR(N38="",G38="",G38=0),"",N38/(G38/60))</f>
        <v/>
      </c>
    </row>
    <row r="39">
      <c r="A39" s="22" t="n">
        <v>34</v>
      </c>
      <c r="B39" s="23" t="n"/>
      <c r="C39" s="24" t="inlineStr">
        <is>
          <t>baseline-fault30</t>
        </is>
      </c>
      <c r="D39" s="24" t="inlineStr">
        <is>
          <t>baseline</t>
        </is>
      </c>
      <c r="E39" s="24" t="inlineStr">
        <is>
          <t>08min_01</t>
        </is>
      </c>
      <c r="F39" s="22" t="n">
        <v>8</v>
      </c>
      <c r="G39" s="25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2" t="n"/>
      <c r="Q39" s="24" t="n"/>
      <c r="R39" s="24" t="n"/>
      <c r="S39" s="27" t="n"/>
      <c r="T39" s="28">
        <f>IF(Q39="","",IF(Q39="SUCCESS",1,0))</f>
        <v/>
      </c>
      <c r="U39" s="29">
        <f>IF(OR(N39="",Q39&lt;&gt;"SUCCESS"),"",N39-SUM(I39:M39))</f>
        <v/>
      </c>
      <c r="V39" s="30">
        <f>IF(OR(N39="",N39=0,L39=""),"",L39/N39)</f>
        <v/>
      </c>
      <c r="W39" s="29">
        <f>IF(OR(N39="",G39="",G39=0),"",N39/(G39/60))</f>
        <v/>
      </c>
    </row>
    <row r="40">
      <c r="A40" s="22" t="n">
        <v>35</v>
      </c>
      <c r="B40" s="23" t="n"/>
      <c r="C40" s="24" t="inlineStr">
        <is>
          <t>baseline-fault30</t>
        </is>
      </c>
      <c r="D40" s="24" t="inlineStr">
        <is>
          <t>baseline</t>
        </is>
      </c>
      <c r="E40" s="24" t="inlineStr">
        <is>
          <t>08min_02</t>
        </is>
      </c>
      <c r="F40" s="22" t="n">
        <v>8</v>
      </c>
      <c r="G40" s="25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2" t="n"/>
      <c r="Q40" s="24" t="n"/>
      <c r="R40" s="24" t="n"/>
      <c r="S40" s="27" t="n"/>
      <c r="T40" s="28">
        <f>IF(Q40="","",IF(Q40="SUCCESS",1,0))</f>
        <v/>
      </c>
      <c r="U40" s="29">
        <f>IF(OR(N40="",Q40&lt;&gt;"SUCCESS"),"",N40-SUM(I40:M40))</f>
        <v/>
      </c>
      <c r="V40" s="30">
        <f>IF(OR(N40="",N40=0,L40=""),"",L40/N40)</f>
        <v/>
      </c>
      <c r="W40" s="29">
        <f>IF(OR(N40="",G40="",G40=0),"",N40/(G40/60))</f>
        <v/>
      </c>
    </row>
    <row r="41">
      <c r="A41" s="22" t="n">
        <v>36</v>
      </c>
      <c r="B41" s="23" t="n"/>
      <c r="C41" s="24" t="inlineStr">
        <is>
          <t>baseline-fault30</t>
        </is>
      </c>
      <c r="D41" s="24" t="inlineStr">
        <is>
          <t>baseline</t>
        </is>
      </c>
      <c r="E41" s="24" t="inlineStr">
        <is>
          <t>08min_03</t>
        </is>
      </c>
      <c r="F41" s="22" t="n">
        <v>8</v>
      </c>
      <c r="G41" s="25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2" t="n"/>
      <c r="Q41" s="24" t="n"/>
      <c r="R41" s="24" t="n"/>
      <c r="S41" s="27" t="n"/>
      <c r="T41" s="28">
        <f>IF(Q41="","",IF(Q41="SUCCESS",1,0))</f>
        <v/>
      </c>
      <c r="U41" s="29">
        <f>IF(OR(N41="",Q41&lt;&gt;"SUCCESS"),"",N41-SUM(I41:M41))</f>
        <v/>
      </c>
      <c r="V41" s="30">
        <f>IF(OR(N41="",N41=0,L41=""),"",L41/N41)</f>
        <v/>
      </c>
      <c r="W41" s="29">
        <f>IF(OR(N41="",G41="",G41=0),"",N41/(G41/60))</f>
        <v/>
      </c>
    </row>
    <row r="42">
      <c r="A42" s="22" t="n">
        <v>37</v>
      </c>
      <c r="B42" s="23" t="n"/>
      <c r="C42" s="24" t="inlineStr">
        <is>
          <t>optimized-fault30</t>
        </is>
      </c>
      <c r="D42" s="24" t="inlineStr">
        <is>
          <t>optimized</t>
        </is>
      </c>
      <c r="E42" s="24" t="inlineStr">
        <is>
          <t>01min_01</t>
        </is>
      </c>
      <c r="F42" s="22" t="n">
        <v>1</v>
      </c>
      <c r="G42" s="25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2" t="n"/>
      <c r="Q42" s="24" t="n"/>
      <c r="R42" s="24" t="n"/>
      <c r="S42" s="27" t="n"/>
      <c r="T42" s="28">
        <f>IF(Q42="","",IF(Q42="SUCCESS",1,0))</f>
        <v/>
      </c>
      <c r="U42" s="29">
        <f>IF(OR(N42="",Q42&lt;&gt;"SUCCESS"),"",N42-SUM(I42:M42))</f>
        <v/>
      </c>
      <c r="V42" s="30">
        <f>IF(OR(N42="",N42=0,L42=""),"",L42/N42)</f>
        <v/>
      </c>
      <c r="W42" s="29">
        <f>IF(OR(N42="",G42="",G42=0),"",N42/(G42/60))</f>
        <v/>
      </c>
    </row>
    <row r="43">
      <c r="A43" s="22" t="n">
        <v>38</v>
      </c>
      <c r="B43" s="23" t="n"/>
      <c r="C43" s="24" t="inlineStr">
        <is>
          <t>optimized-fault30</t>
        </is>
      </c>
      <c r="D43" s="24" t="inlineStr">
        <is>
          <t>optimized</t>
        </is>
      </c>
      <c r="E43" s="24" t="inlineStr">
        <is>
          <t>01min_02</t>
        </is>
      </c>
      <c r="F43" s="22" t="n">
        <v>1</v>
      </c>
      <c r="G43" s="25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2" t="n"/>
      <c r="Q43" s="24" t="n"/>
      <c r="R43" s="24" t="n"/>
      <c r="S43" s="27" t="n"/>
      <c r="T43" s="28">
        <f>IF(Q43="","",IF(Q43="SUCCESS",1,0))</f>
        <v/>
      </c>
      <c r="U43" s="29">
        <f>IF(OR(N43="",Q43&lt;&gt;"SUCCESS"),"",N43-SUM(I43:M43))</f>
        <v/>
      </c>
      <c r="V43" s="30">
        <f>IF(OR(N43="",N43=0,L43=""),"",L43/N43)</f>
        <v/>
      </c>
      <c r="W43" s="29">
        <f>IF(OR(N43="",G43="",G43=0),"",N43/(G43/60))</f>
        <v/>
      </c>
    </row>
    <row r="44">
      <c r="A44" s="22" t="n">
        <v>39</v>
      </c>
      <c r="B44" s="23" t="n"/>
      <c r="C44" s="24" t="inlineStr">
        <is>
          <t>optimized-fault30</t>
        </is>
      </c>
      <c r="D44" s="24" t="inlineStr">
        <is>
          <t>optimized</t>
        </is>
      </c>
      <c r="E44" s="24" t="inlineStr">
        <is>
          <t>01min_03</t>
        </is>
      </c>
      <c r="F44" s="22" t="n">
        <v>1</v>
      </c>
      <c r="G44" s="25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2" t="n"/>
      <c r="Q44" s="24" t="n"/>
      <c r="R44" s="24" t="n"/>
      <c r="S44" s="27" t="n"/>
      <c r="T44" s="28">
        <f>IF(Q44="","",IF(Q44="SUCCESS",1,0))</f>
        <v/>
      </c>
      <c r="U44" s="29">
        <f>IF(OR(N44="",Q44&lt;&gt;"SUCCESS"),"",N44-SUM(I44:M44))</f>
        <v/>
      </c>
      <c r="V44" s="30">
        <f>IF(OR(N44="",N44=0,L44=""),"",L44/N44)</f>
        <v/>
      </c>
      <c r="W44" s="29">
        <f>IF(OR(N44="",G44="",G44=0),"",N44/(G44/60))</f>
        <v/>
      </c>
    </row>
    <row r="45">
      <c r="A45" s="22" t="n">
        <v>40</v>
      </c>
      <c r="B45" s="23" t="n"/>
      <c r="C45" s="24" t="inlineStr">
        <is>
          <t>optimized-fault30</t>
        </is>
      </c>
      <c r="D45" s="24" t="inlineStr">
        <is>
          <t>optimized</t>
        </is>
      </c>
      <c r="E45" s="24" t="inlineStr">
        <is>
          <t>03min_01</t>
        </is>
      </c>
      <c r="F45" s="22" t="n">
        <v>3</v>
      </c>
      <c r="G45" s="25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2" t="n"/>
      <c r="Q45" s="24" t="n"/>
      <c r="R45" s="24" t="n"/>
      <c r="S45" s="27" t="n"/>
      <c r="T45" s="28">
        <f>IF(Q45="","",IF(Q45="SUCCESS",1,0))</f>
        <v/>
      </c>
      <c r="U45" s="29">
        <f>IF(OR(N45="",Q45&lt;&gt;"SUCCESS"),"",N45-SUM(I45:M45))</f>
        <v/>
      </c>
      <c r="V45" s="30">
        <f>IF(OR(N45="",N45=0,L45=""),"",L45/N45)</f>
        <v/>
      </c>
      <c r="W45" s="29">
        <f>IF(OR(N45="",G45="",G45=0),"",N45/(G45/60))</f>
        <v/>
      </c>
    </row>
    <row r="46">
      <c r="A46" s="22" t="n">
        <v>41</v>
      </c>
      <c r="B46" s="23" t="n"/>
      <c r="C46" s="24" t="inlineStr">
        <is>
          <t>optimized-fault30</t>
        </is>
      </c>
      <c r="D46" s="24" t="inlineStr">
        <is>
          <t>optimized</t>
        </is>
      </c>
      <c r="E46" s="24" t="inlineStr">
        <is>
          <t>03min_02</t>
        </is>
      </c>
      <c r="F46" s="22" t="n">
        <v>3</v>
      </c>
      <c r="G46" s="25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2" t="n"/>
      <c r="Q46" s="24" t="n"/>
      <c r="R46" s="24" t="n"/>
      <c r="S46" s="27" t="n"/>
      <c r="T46" s="28">
        <f>IF(Q46="","",IF(Q46="SUCCESS",1,0))</f>
        <v/>
      </c>
      <c r="U46" s="29">
        <f>IF(OR(N46="",Q46&lt;&gt;"SUCCESS"),"",N46-SUM(I46:M46))</f>
        <v/>
      </c>
      <c r="V46" s="30">
        <f>IF(OR(N46="",N46=0,L46=""),"",L46/N46)</f>
        <v/>
      </c>
      <c r="W46" s="29">
        <f>IF(OR(N46="",G46="",G46=0),"",N46/(G46/60))</f>
        <v/>
      </c>
    </row>
    <row r="47">
      <c r="A47" s="22" t="n">
        <v>42</v>
      </c>
      <c r="B47" s="23" t="n"/>
      <c r="C47" s="24" t="inlineStr">
        <is>
          <t>optimized-fault30</t>
        </is>
      </c>
      <c r="D47" s="24" t="inlineStr">
        <is>
          <t>optimized</t>
        </is>
      </c>
      <c r="E47" s="24" t="inlineStr">
        <is>
          <t>03min_03</t>
        </is>
      </c>
      <c r="F47" s="22" t="n">
        <v>3</v>
      </c>
      <c r="G47" s="25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2" t="n"/>
      <c r="Q47" s="24" t="n"/>
      <c r="R47" s="24" t="n"/>
      <c r="S47" s="27" t="n"/>
      <c r="T47" s="28">
        <f>IF(Q47="","",IF(Q47="SUCCESS",1,0))</f>
        <v/>
      </c>
      <c r="U47" s="29">
        <f>IF(OR(N47="",Q47&lt;&gt;"SUCCESS"),"",N47-SUM(I47:M47))</f>
        <v/>
      </c>
      <c r="V47" s="30">
        <f>IF(OR(N47="",N47=0,L47=""),"",L47/N47)</f>
        <v/>
      </c>
      <c r="W47" s="29">
        <f>IF(OR(N47="",G47="",G47=0),"",N47/(G47/60))</f>
        <v/>
      </c>
    </row>
    <row r="48">
      <c r="A48" s="22" t="n">
        <v>43</v>
      </c>
      <c r="B48" s="23" t="n"/>
      <c r="C48" s="24" t="inlineStr">
        <is>
          <t>optimized-fault30</t>
        </is>
      </c>
      <c r="D48" s="24" t="inlineStr">
        <is>
          <t>optimized</t>
        </is>
      </c>
      <c r="E48" s="24" t="inlineStr">
        <is>
          <t>05min_01</t>
        </is>
      </c>
      <c r="F48" s="22" t="n">
        <v>5</v>
      </c>
      <c r="G48" s="25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2" t="n"/>
      <c r="Q48" s="24" t="n"/>
      <c r="R48" s="24" t="n"/>
      <c r="S48" s="27" t="n"/>
      <c r="T48" s="28">
        <f>IF(Q48="","",IF(Q48="SUCCESS",1,0))</f>
        <v/>
      </c>
      <c r="U48" s="29">
        <f>IF(OR(N48="",Q48&lt;&gt;"SUCCESS"),"",N48-SUM(I48:M48))</f>
        <v/>
      </c>
      <c r="V48" s="30">
        <f>IF(OR(N48="",N48=0,L48=""),"",L48/N48)</f>
        <v/>
      </c>
      <c r="W48" s="29">
        <f>IF(OR(N48="",G48="",G48=0),"",N48/(G48/60))</f>
        <v/>
      </c>
    </row>
    <row r="49">
      <c r="A49" s="22" t="n">
        <v>44</v>
      </c>
      <c r="B49" s="23" t="n"/>
      <c r="C49" s="24" t="inlineStr">
        <is>
          <t>optimized-fault30</t>
        </is>
      </c>
      <c r="D49" s="24" t="inlineStr">
        <is>
          <t>optimized</t>
        </is>
      </c>
      <c r="E49" s="24" t="inlineStr">
        <is>
          <t>05min_02</t>
        </is>
      </c>
      <c r="F49" s="22" t="n">
        <v>5</v>
      </c>
      <c r="G49" s="25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2" t="n"/>
      <c r="Q49" s="24" t="n"/>
      <c r="R49" s="24" t="n"/>
      <c r="S49" s="27" t="n"/>
      <c r="T49" s="28">
        <f>IF(Q49="","",IF(Q49="SUCCESS",1,0))</f>
        <v/>
      </c>
      <c r="U49" s="29">
        <f>IF(OR(N49="",Q49&lt;&gt;"SUCCESS"),"",N49-SUM(I49:M49))</f>
        <v/>
      </c>
      <c r="V49" s="30">
        <f>IF(OR(N49="",N49=0,L49=""),"",L49/N49)</f>
        <v/>
      </c>
      <c r="W49" s="29">
        <f>IF(OR(N49="",G49="",G49=0),"",N49/(G49/60))</f>
        <v/>
      </c>
    </row>
    <row r="50">
      <c r="A50" s="22" t="n">
        <v>45</v>
      </c>
      <c r="B50" s="23" t="n"/>
      <c r="C50" s="24" t="inlineStr">
        <is>
          <t>optimized-fault30</t>
        </is>
      </c>
      <c r="D50" s="24" t="inlineStr">
        <is>
          <t>optimized</t>
        </is>
      </c>
      <c r="E50" s="24" t="inlineStr">
        <is>
          <t>05min_03</t>
        </is>
      </c>
      <c r="F50" s="22" t="n">
        <v>5</v>
      </c>
      <c r="G50" s="25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2" t="n"/>
      <c r="Q50" s="24" t="n"/>
      <c r="R50" s="24" t="n"/>
      <c r="S50" s="27" t="n"/>
      <c r="T50" s="28">
        <f>IF(Q50="","",IF(Q50="SUCCESS",1,0))</f>
        <v/>
      </c>
      <c r="U50" s="29">
        <f>IF(OR(N50="",Q50&lt;&gt;"SUCCESS"),"",N50-SUM(I50:M50))</f>
        <v/>
      </c>
      <c r="V50" s="30">
        <f>IF(OR(N50="",N50=0,L50=""),"",L50/N50)</f>
        <v/>
      </c>
      <c r="W50" s="29">
        <f>IF(OR(N50="",G50="",G50=0),"",N50/(G50/60))</f>
        <v/>
      </c>
    </row>
    <row r="51">
      <c r="A51" s="22" t="n">
        <v>46</v>
      </c>
      <c r="B51" s="23" t="n"/>
      <c r="C51" s="24" t="inlineStr">
        <is>
          <t>optimized-fault30</t>
        </is>
      </c>
      <c r="D51" s="24" t="inlineStr">
        <is>
          <t>optimized</t>
        </is>
      </c>
      <c r="E51" s="24" t="inlineStr">
        <is>
          <t>08min_01</t>
        </is>
      </c>
      <c r="F51" s="22" t="n">
        <v>8</v>
      </c>
      <c r="G51" s="25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2" t="n"/>
      <c r="Q51" s="24" t="n"/>
      <c r="R51" s="24" t="n"/>
      <c r="S51" s="27" t="n"/>
      <c r="T51" s="28">
        <f>IF(Q51="","",IF(Q51="SUCCESS",1,0))</f>
        <v/>
      </c>
      <c r="U51" s="29">
        <f>IF(OR(N51="",Q51&lt;&gt;"SUCCESS"),"",N51-SUM(I51:M51))</f>
        <v/>
      </c>
      <c r="V51" s="30">
        <f>IF(OR(N51="",N51=0,L51=""),"",L51/N51)</f>
        <v/>
      </c>
      <c r="W51" s="29">
        <f>IF(OR(N51="",G51="",G51=0),"",N51/(G51/60))</f>
        <v/>
      </c>
    </row>
    <row r="52">
      <c r="A52" s="22" t="n">
        <v>47</v>
      </c>
      <c r="B52" s="23" t="n"/>
      <c r="C52" s="24" t="inlineStr">
        <is>
          <t>optimized-fault30</t>
        </is>
      </c>
      <c r="D52" s="24" t="inlineStr">
        <is>
          <t>optimized</t>
        </is>
      </c>
      <c r="E52" s="24" t="inlineStr">
        <is>
          <t>08min_02</t>
        </is>
      </c>
      <c r="F52" s="22" t="n">
        <v>8</v>
      </c>
      <c r="G52" s="25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2" t="n"/>
      <c r="Q52" s="24" t="n"/>
      <c r="R52" s="24" t="n"/>
      <c r="S52" s="27" t="n"/>
      <c r="T52" s="28">
        <f>IF(Q52="","",IF(Q52="SUCCESS",1,0))</f>
        <v/>
      </c>
      <c r="U52" s="29">
        <f>IF(OR(N52="",Q52&lt;&gt;"SUCCESS"),"",N52-SUM(I52:M52))</f>
        <v/>
      </c>
      <c r="V52" s="30">
        <f>IF(OR(N52="",N52=0,L52=""),"",L52/N52)</f>
        <v/>
      </c>
      <c r="W52" s="29">
        <f>IF(OR(N52="",G52="",G52=0),"",N52/(G52/60))</f>
        <v/>
      </c>
    </row>
    <row r="53">
      <c r="A53" s="22" t="n">
        <v>48</v>
      </c>
      <c r="B53" s="23" t="n"/>
      <c r="C53" s="24" t="inlineStr">
        <is>
          <t>optimized-fault30</t>
        </is>
      </c>
      <c r="D53" s="24" t="inlineStr">
        <is>
          <t>optimized</t>
        </is>
      </c>
      <c r="E53" s="24" t="inlineStr">
        <is>
          <t>08min_03</t>
        </is>
      </c>
      <c r="F53" s="22" t="n">
        <v>8</v>
      </c>
      <c r="G53" s="25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2" t="n"/>
      <c r="Q53" s="24" t="n"/>
      <c r="R53" s="24" t="n"/>
      <c r="S53" s="27" t="n"/>
      <c r="T53" s="28">
        <f>IF(Q53="","",IF(Q53="SUCCESS",1,0))</f>
        <v/>
      </c>
      <c r="U53" s="29">
        <f>IF(OR(N53="",Q53&lt;&gt;"SUCCESS"),"",N53-SUM(I53:M53))</f>
        <v/>
      </c>
      <c r="V53" s="30">
        <f>IF(OR(N53="",N53=0,L53=""),"",L53/N53)</f>
        <v/>
      </c>
      <c r="W53" s="29">
        <f>IF(OR(N53="",G53="",G53=0),"",N53/(G53/60))</f>
        <v/>
      </c>
    </row>
    <row r="54">
      <c r="A54" s="22" t="n"/>
      <c r="B54" s="23" t="n"/>
      <c r="C54" s="24" t="n"/>
      <c r="D54" s="24" t="n"/>
      <c r="E54" s="24" t="n"/>
      <c r="F54" s="22" t="n"/>
      <c r="G54" s="25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2" t="n"/>
      <c r="Q54" s="24" t="n"/>
      <c r="R54" s="24" t="n"/>
      <c r="S54" s="27" t="n"/>
      <c r="T54" s="28">
        <f>IF(Q54="","",IF(Q54="SUCCESS",1,0))</f>
        <v/>
      </c>
      <c r="U54" s="29">
        <f>IF(OR(N54="",Q54&lt;&gt;"SUCCESS"),"",N54-SUM(I54:M54))</f>
        <v/>
      </c>
      <c r="V54" s="30">
        <f>IF(OR(N54="",N54=0,L54=""),"",L54/N54)</f>
        <v/>
      </c>
      <c r="W54" s="29">
        <f>IF(OR(N54="",G54="",G54=0),"",N54/(G54/60))</f>
        <v/>
      </c>
    </row>
    <row r="55">
      <c r="A55" s="22" t="n"/>
      <c r="B55" s="23" t="n"/>
      <c r="C55" s="24" t="n"/>
      <c r="D55" s="24" t="n"/>
      <c r="E55" s="24" t="n"/>
      <c r="F55" s="22" t="n"/>
      <c r="G55" s="25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2" t="n"/>
      <c r="Q55" s="24" t="n"/>
      <c r="R55" s="24" t="n"/>
      <c r="S55" s="27" t="n"/>
      <c r="T55" s="28">
        <f>IF(Q55="","",IF(Q55="SUCCESS",1,0))</f>
        <v/>
      </c>
      <c r="U55" s="29">
        <f>IF(OR(N55="",Q55&lt;&gt;"SUCCESS"),"",N55-SUM(I55:M55))</f>
        <v/>
      </c>
      <c r="V55" s="30">
        <f>IF(OR(N55="",N55=0,L55=""),"",L55/N55)</f>
        <v/>
      </c>
      <c r="W55" s="29">
        <f>IF(OR(N55="",G55="",G55=0),"",N55/(G55/60))</f>
        <v/>
      </c>
    </row>
    <row r="56">
      <c r="A56" s="22" t="n"/>
      <c r="B56" s="23" t="n"/>
      <c r="C56" s="24" t="n"/>
      <c r="D56" s="24" t="n"/>
      <c r="E56" s="24" t="n"/>
      <c r="F56" s="22" t="n"/>
      <c r="G56" s="25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2" t="n"/>
      <c r="Q56" s="24" t="n"/>
      <c r="R56" s="24" t="n"/>
      <c r="S56" s="27" t="n"/>
      <c r="T56" s="28">
        <f>IF(Q56="","",IF(Q56="SUCCESS",1,0))</f>
        <v/>
      </c>
      <c r="U56" s="29">
        <f>IF(OR(N56="",Q56&lt;&gt;"SUCCESS"),"",N56-SUM(I56:M56))</f>
        <v/>
      </c>
      <c r="V56" s="30">
        <f>IF(OR(N56="",N56=0,L56=""),"",L56/N56)</f>
        <v/>
      </c>
      <c r="W56" s="29">
        <f>IF(OR(N56="",G56="",G56=0),"",N56/(G56/60))</f>
        <v/>
      </c>
    </row>
    <row r="57">
      <c r="A57" s="22" t="n"/>
      <c r="B57" s="23" t="n"/>
      <c r="C57" s="24" t="n"/>
      <c r="D57" s="24" t="n"/>
      <c r="E57" s="24" t="n"/>
      <c r="F57" s="22" t="n"/>
      <c r="G57" s="25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2" t="n"/>
      <c r="Q57" s="24" t="n"/>
      <c r="R57" s="24" t="n"/>
      <c r="S57" s="27" t="n"/>
      <c r="T57" s="28">
        <f>IF(Q57="","",IF(Q57="SUCCESS",1,0))</f>
        <v/>
      </c>
      <c r="U57" s="29">
        <f>IF(OR(N57="",Q57&lt;&gt;"SUCCESS"),"",N57-SUM(I57:M57))</f>
        <v/>
      </c>
      <c r="V57" s="30">
        <f>IF(OR(N57="",N57=0,L57=""),"",L57/N57)</f>
        <v/>
      </c>
      <c r="W57" s="29">
        <f>IF(OR(N57="",G57="",G57=0),"",N57/(G57/60))</f>
        <v/>
      </c>
    </row>
    <row r="58">
      <c r="A58" s="22" t="n"/>
      <c r="B58" s="23" t="n"/>
      <c r="C58" s="24" t="n"/>
      <c r="D58" s="24" t="n"/>
      <c r="E58" s="24" t="n"/>
      <c r="F58" s="22" t="n"/>
      <c r="G58" s="25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2" t="n"/>
      <c r="Q58" s="24" t="n"/>
      <c r="R58" s="24" t="n"/>
      <c r="S58" s="27" t="n"/>
      <c r="T58" s="28">
        <f>IF(Q58="","",IF(Q58="SUCCESS",1,0))</f>
        <v/>
      </c>
      <c r="U58" s="29">
        <f>IF(OR(N58="",Q58&lt;&gt;"SUCCESS"),"",N58-SUM(I58:M58))</f>
        <v/>
      </c>
      <c r="V58" s="30">
        <f>IF(OR(N58="",N58=0,L58=""),"",L58/N58)</f>
        <v/>
      </c>
      <c r="W58" s="29">
        <f>IF(OR(N58="",G58="",G58=0),"",N58/(G58/60))</f>
        <v/>
      </c>
    </row>
    <row r="59">
      <c r="A59" s="22" t="n"/>
      <c r="B59" s="23" t="n"/>
      <c r="C59" s="24" t="n"/>
      <c r="D59" s="24" t="n"/>
      <c r="E59" s="24" t="n"/>
      <c r="F59" s="22" t="n"/>
      <c r="G59" s="25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2" t="n"/>
      <c r="Q59" s="24" t="n"/>
      <c r="R59" s="24" t="n"/>
      <c r="S59" s="27" t="n"/>
      <c r="T59" s="28">
        <f>IF(Q59="","",IF(Q59="SUCCESS",1,0))</f>
        <v/>
      </c>
      <c r="U59" s="29">
        <f>IF(OR(N59="",Q59&lt;&gt;"SUCCESS"),"",N59-SUM(I59:M59))</f>
        <v/>
      </c>
      <c r="V59" s="30">
        <f>IF(OR(N59="",N59=0,L59=""),"",L59/N59)</f>
        <v/>
      </c>
      <c r="W59" s="29">
        <f>IF(OR(N59="",G59="",G59=0),"",N59/(G59/60))</f>
        <v/>
      </c>
    </row>
    <row r="60">
      <c r="A60" s="22" t="n"/>
      <c r="B60" s="23" t="n"/>
      <c r="C60" s="24" t="n"/>
      <c r="D60" s="24" t="n"/>
      <c r="E60" s="24" t="n"/>
      <c r="F60" s="22" t="n"/>
      <c r="G60" s="25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2" t="n"/>
      <c r="Q60" s="24" t="n"/>
      <c r="R60" s="24" t="n"/>
      <c r="S60" s="27" t="n"/>
      <c r="T60" s="28">
        <f>IF(Q60="","",IF(Q60="SUCCESS",1,0))</f>
        <v/>
      </c>
      <c r="U60" s="29">
        <f>IF(OR(N60="",Q60&lt;&gt;"SUCCESS"),"",N60-SUM(I60:M60))</f>
        <v/>
      </c>
      <c r="V60" s="30">
        <f>IF(OR(N60="",N60=0,L60=""),"",L60/N60)</f>
        <v/>
      </c>
      <c r="W60" s="29">
        <f>IF(OR(N60="",G60="",G60=0),"",N60/(G60/60))</f>
        <v/>
      </c>
    </row>
    <row r="61">
      <c r="A61" s="22" t="n"/>
      <c r="B61" s="23" t="n"/>
      <c r="C61" s="24" t="n"/>
      <c r="D61" s="24" t="n"/>
      <c r="E61" s="24" t="n"/>
      <c r="F61" s="22" t="n"/>
      <c r="G61" s="25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2" t="n"/>
      <c r="Q61" s="24" t="n"/>
      <c r="R61" s="24" t="n"/>
      <c r="S61" s="27" t="n"/>
      <c r="T61" s="28">
        <f>IF(Q61="","",IF(Q61="SUCCESS",1,0))</f>
        <v/>
      </c>
      <c r="U61" s="29">
        <f>IF(OR(N61="",Q61&lt;&gt;"SUCCESS"),"",N61-SUM(I61:M61))</f>
        <v/>
      </c>
      <c r="V61" s="30">
        <f>IF(OR(N61="",N61=0,L61=""),"",L61/N61)</f>
        <v/>
      </c>
      <c r="W61" s="29">
        <f>IF(OR(N61="",G61="",G61=0),"",N61/(G61/60))</f>
        <v/>
      </c>
    </row>
    <row r="62">
      <c r="A62" s="22" t="n"/>
      <c r="B62" s="23" t="n"/>
      <c r="C62" s="24" t="n"/>
      <c r="D62" s="24" t="n"/>
      <c r="E62" s="24" t="n"/>
      <c r="F62" s="22" t="n"/>
      <c r="G62" s="25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2" t="n"/>
      <c r="Q62" s="24" t="n"/>
      <c r="R62" s="24" t="n"/>
      <c r="S62" s="27" t="n"/>
      <c r="T62" s="28">
        <f>IF(Q62="","",IF(Q62="SUCCESS",1,0))</f>
        <v/>
      </c>
      <c r="U62" s="29">
        <f>IF(OR(N62="",Q62&lt;&gt;"SUCCESS"),"",N62-SUM(I62:M62))</f>
        <v/>
      </c>
      <c r="V62" s="30">
        <f>IF(OR(N62="",N62=0,L62=""),"",L62/N62)</f>
        <v/>
      </c>
      <c r="W62" s="29">
        <f>IF(OR(N62="",G62="",G62=0),"",N62/(G62/60))</f>
        <v/>
      </c>
    </row>
    <row r="63">
      <c r="A63" s="22" t="n"/>
      <c r="B63" s="23" t="n"/>
      <c r="C63" s="24" t="n"/>
      <c r="D63" s="24" t="n"/>
      <c r="E63" s="24" t="n"/>
      <c r="F63" s="22" t="n"/>
      <c r="G63" s="25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2" t="n"/>
      <c r="Q63" s="24" t="n"/>
      <c r="R63" s="24" t="n"/>
      <c r="S63" s="27" t="n"/>
      <c r="T63" s="28">
        <f>IF(Q63="","",IF(Q63="SUCCESS",1,0))</f>
        <v/>
      </c>
      <c r="U63" s="29">
        <f>IF(OR(N63="",Q63&lt;&gt;"SUCCESS"),"",N63-SUM(I63:M63))</f>
        <v/>
      </c>
      <c r="V63" s="30">
        <f>IF(OR(N63="",N63=0,L63=""),"",L63/N63)</f>
        <v/>
      </c>
      <c r="W63" s="29">
        <f>IF(OR(N63="",G63="",G63=0),"",N63/(G63/60))</f>
        <v/>
      </c>
    </row>
    <row r="64">
      <c r="A64" s="22" t="n"/>
      <c r="B64" s="23" t="n"/>
      <c r="C64" s="24" t="n"/>
      <c r="D64" s="24" t="n"/>
      <c r="E64" s="24" t="n"/>
      <c r="F64" s="22" t="n"/>
      <c r="G64" s="25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2" t="n"/>
      <c r="Q64" s="24" t="n"/>
      <c r="R64" s="24" t="n"/>
      <c r="S64" s="27" t="n"/>
      <c r="T64" s="28">
        <f>IF(Q64="","",IF(Q64="SUCCESS",1,0))</f>
        <v/>
      </c>
      <c r="U64" s="29">
        <f>IF(OR(N64="",Q64&lt;&gt;"SUCCESS"),"",N64-SUM(I64:M64))</f>
        <v/>
      </c>
      <c r="V64" s="30">
        <f>IF(OR(N64="",N64=0,L64=""),"",L64/N64)</f>
        <v/>
      </c>
      <c r="W64" s="29">
        <f>IF(OR(N64="",G64="",G64=0),"",N64/(G64/60))</f>
        <v/>
      </c>
    </row>
    <row r="65">
      <c r="A65" s="22" t="n"/>
      <c r="B65" s="23" t="n"/>
      <c r="C65" s="24" t="n"/>
      <c r="D65" s="24" t="n"/>
      <c r="E65" s="24" t="n"/>
      <c r="F65" s="22" t="n"/>
      <c r="G65" s="25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2" t="n"/>
      <c r="Q65" s="24" t="n"/>
      <c r="R65" s="24" t="n"/>
      <c r="S65" s="27" t="n"/>
      <c r="T65" s="28">
        <f>IF(Q65="","",IF(Q65="SUCCESS",1,0))</f>
        <v/>
      </c>
      <c r="U65" s="29">
        <f>IF(OR(N65="",Q65&lt;&gt;"SUCCESS"),"",N65-SUM(I65:M65))</f>
        <v/>
      </c>
      <c r="V65" s="30">
        <f>IF(OR(N65="",N65=0,L65=""),"",L65/N65)</f>
        <v/>
      </c>
      <c r="W65" s="29">
        <f>IF(OR(N65="",G65="",G65=0),"",N65/(G65/60))</f>
        <v/>
      </c>
    </row>
    <row r="66">
      <c r="A66" s="22" t="n"/>
      <c r="B66" s="23" t="n"/>
      <c r="C66" s="24" t="n"/>
      <c r="D66" s="24" t="n"/>
      <c r="E66" s="24" t="n"/>
      <c r="F66" s="22" t="n"/>
      <c r="G66" s="25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2" t="n"/>
      <c r="Q66" s="24" t="n"/>
      <c r="R66" s="24" t="n"/>
      <c r="S66" s="27" t="n"/>
      <c r="T66" s="28">
        <f>IF(Q66="","",IF(Q66="SUCCESS",1,0))</f>
        <v/>
      </c>
      <c r="U66" s="29">
        <f>IF(OR(N66="",Q66&lt;&gt;"SUCCESS"),"",N66-SUM(I66:M66))</f>
        <v/>
      </c>
      <c r="V66" s="30">
        <f>IF(OR(N66="",N66=0,L66=""),"",L66/N66)</f>
        <v/>
      </c>
      <c r="W66" s="29">
        <f>IF(OR(N66="",G66="",G66=0),"",N66/(G66/60))</f>
        <v/>
      </c>
    </row>
    <row r="67">
      <c r="A67" s="22" t="n"/>
      <c r="B67" s="23" t="n"/>
      <c r="C67" s="24" t="n"/>
      <c r="D67" s="24" t="n"/>
      <c r="E67" s="24" t="n"/>
      <c r="F67" s="22" t="n"/>
      <c r="G67" s="25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2" t="n"/>
      <c r="Q67" s="24" t="n"/>
      <c r="R67" s="24" t="n"/>
      <c r="S67" s="27" t="n"/>
      <c r="T67" s="28">
        <f>IF(Q67="","",IF(Q67="SUCCESS",1,0))</f>
        <v/>
      </c>
      <c r="U67" s="29">
        <f>IF(OR(N67="",Q67&lt;&gt;"SUCCESS"),"",N67-SUM(I67:M67))</f>
        <v/>
      </c>
      <c r="V67" s="30">
        <f>IF(OR(N67="",N67=0,L67=""),"",L67/N67)</f>
        <v/>
      </c>
      <c r="W67" s="29">
        <f>IF(OR(N67="",G67="",G67=0),"",N67/(G67/60))</f>
        <v/>
      </c>
    </row>
    <row r="68">
      <c r="A68" s="22" t="n"/>
      <c r="B68" s="23" t="n"/>
      <c r="C68" s="24" t="n"/>
      <c r="D68" s="24" t="n"/>
      <c r="E68" s="24" t="n"/>
      <c r="F68" s="22" t="n"/>
      <c r="G68" s="25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2" t="n"/>
      <c r="Q68" s="24" t="n"/>
      <c r="R68" s="24" t="n"/>
      <c r="S68" s="27" t="n"/>
      <c r="T68" s="28">
        <f>IF(Q68="","",IF(Q68="SUCCESS",1,0))</f>
        <v/>
      </c>
      <c r="U68" s="29">
        <f>IF(OR(N68="",Q68&lt;&gt;"SUCCESS"),"",N68-SUM(I68:M68))</f>
        <v/>
      </c>
      <c r="V68" s="30">
        <f>IF(OR(N68="",N68=0,L68=""),"",L68/N68)</f>
        <v/>
      </c>
      <c r="W68" s="29">
        <f>IF(OR(N68="",G68="",G68=0),"",N68/(G68/60))</f>
        <v/>
      </c>
    </row>
    <row r="69">
      <c r="A69" s="22" t="n"/>
      <c r="B69" s="23" t="n"/>
      <c r="C69" s="24" t="n"/>
      <c r="D69" s="24" t="n"/>
      <c r="E69" s="24" t="n"/>
      <c r="F69" s="22" t="n"/>
      <c r="G69" s="25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2" t="n"/>
      <c r="Q69" s="24" t="n"/>
      <c r="R69" s="24" t="n"/>
      <c r="S69" s="27" t="n"/>
      <c r="T69" s="28">
        <f>IF(Q69="","",IF(Q69="SUCCESS",1,0))</f>
        <v/>
      </c>
      <c r="U69" s="29">
        <f>IF(OR(N69="",Q69&lt;&gt;"SUCCESS"),"",N69-SUM(I69:M69))</f>
        <v/>
      </c>
      <c r="V69" s="30">
        <f>IF(OR(N69="",N69=0,L69=""),"",L69/N69)</f>
        <v/>
      </c>
      <c r="W69" s="29">
        <f>IF(OR(N69="",G69="",G69=0),"",N69/(G69/60))</f>
        <v/>
      </c>
    </row>
    <row r="70">
      <c r="A70" s="22" t="n"/>
      <c r="B70" s="23" t="n"/>
      <c r="C70" s="24" t="n"/>
      <c r="D70" s="24" t="n"/>
      <c r="E70" s="24" t="n"/>
      <c r="F70" s="22" t="n"/>
      <c r="G70" s="25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2" t="n"/>
      <c r="Q70" s="24" t="n"/>
      <c r="R70" s="24" t="n"/>
      <c r="S70" s="27" t="n"/>
      <c r="T70" s="28">
        <f>IF(Q70="","",IF(Q70="SUCCESS",1,0))</f>
        <v/>
      </c>
      <c r="U70" s="29">
        <f>IF(OR(N70="",Q70&lt;&gt;"SUCCESS"),"",N70-SUM(I70:M70))</f>
        <v/>
      </c>
      <c r="V70" s="30">
        <f>IF(OR(N70="",N70=0,L70=""),"",L70/N70)</f>
        <v/>
      </c>
      <c r="W70" s="29">
        <f>IF(OR(N70="",G70="",G70=0),"",N70/(G70/60))</f>
        <v/>
      </c>
    </row>
    <row r="71">
      <c r="A71" s="22" t="n"/>
      <c r="B71" s="23" t="n"/>
      <c r="C71" s="24" t="n"/>
      <c r="D71" s="24" t="n"/>
      <c r="E71" s="24" t="n"/>
      <c r="F71" s="22" t="n"/>
      <c r="G71" s="25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2" t="n"/>
      <c r="Q71" s="24" t="n"/>
      <c r="R71" s="24" t="n"/>
      <c r="S71" s="27" t="n"/>
      <c r="T71" s="28">
        <f>IF(Q71="","",IF(Q71="SUCCESS",1,0))</f>
        <v/>
      </c>
      <c r="U71" s="29">
        <f>IF(OR(N71="",Q71&lt;&gt;"SUCCESS"),"",N71-SUM(I71:M71))</f>
        <v/>
      </c>
      <c r="V71" s="30">
        <f>IF(OR(N71="",N71=0,L71=""),"",L71/N71)</f>
        <v/>
      </c>
      <c r="W71" s="29">
        <f>IF(OR(N71="",G71="",G71=0),"",N71/(G71/60))</f>
        <v/>
      </c>
    </row>
    <row r="72">
      <c r="A72" s="22" t="n"/>
      <c r="B72" s="23" t="n"/>
      <c r="C72" s="24" t="n"/>
      <c r="D72" s="24" t="n"/>
      <c r="E72" s="24" t="n"/>
      <c r="F72" s="22" t="n"/>
      <c r="G72" s="25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2" t="n"/>
      <c r="Q72" s="24" t="n"/>
      <c r="R72" s="24" t="n"/>
      <c r="S72" s="27" t="n"/>
      <c r="T72" s="28">
        <f>IF(Q72="","",IF(Q72="SUCCESS",1,0))</f>
        <v/>
      </c>
      <c r="U72" s="29">
        <f>IF(OR(N72="",Q72&lt;&gt;"SUCCESS"),"",N72-SUM(I72:M72))</f>
        <v/>
      </c>
      <c r="V72" s="30">
        <f>IF(OR(N72="",N72=0,L72=""),"",L72/N72)</f>
        <v/>
      </c>
      <c r="W72" s="29">
        <f>IF(OR(N72="",G72="",G72=0),"",N72/(G72/60))</f>
        <v/>
      </c>
    </row>
    <row r="73">
      <c r="A73" s="22" t="n"/>
      <c r="B73" s="23" t="n"/>
      <c r="C73" s="24" t="n"/>
      <c r="D73" s="24" t="n"/>
      <c r="E73" s="24" t="n"/>
      <c r="F73" s="22" t="n"/>
      <c r="G73" s="25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2" t="n"/>
      <c r="Q73" s="24" t="n"/>
      <c r="R73" s="24" t="n"/>
      <c r="S73" s="27" t="n"/>
      <c r="T73" s="28">
        <f>IF(Q73="","",IF(Q73="SUCCESS",1,0))</f>
        <v/>
      </c>
      <c r="U73" s="29">
        <f>IF(OR(N73="",Q73&lt;&gt;"SUCCESS"),"",N73-SUM(I73:M73))</f>
        <v/>
      </c>
      <c r="V73" s="30">
        <f>IF(OR(N73="",N73=0,L73=""),"",L73/N73)</f>
        <v/>
      </c>
      <c r="W73" s="29">
        <f>IF(OR(N73="",G73="",G73=0),"",N73/(G73/60))</f>
        <v/>
      </c>
    </row>
    <row r="74">
      <c r="A74" s="22" t="n"/>
      <c r="B74" s="23" t="n"/>
      <c r="C74" s="24" t="n"/>
      <c r="D74" s="24" t="n"/>
      <c r="E74" s="24" t="n"/>
      <c r="F74" s="22" t="n"/>
      <c r="G74" s="25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2" t="n"/>
      <c r="Q74" s="24" t="n"/>
      <c r="R74" s="24" t="n"/>
      <c r="S74" s="27" t="n"/>
      <c r="T74" s="28">
        <f>IF(Q74="","",IF(Q74="SUCCESS",1,0))</f>
        <v/>
      </c>
      <c r="U74" s="29">
        <f>IF(OR(N74="",Q74&lt;&gt;"SUCCESS"),"",N74-SUM(I74:M74))</f>
        <v/>
      </c>
      <c r="V74" s="30">
        <f>IF(OR(N74="",N74=0,L74=""),"",L74/N74)</f>
        <v/>
      </c>
      <c r="W74" s="29">
        <f>IF(OR(N74="",G74="",G74=0),"",N74/(G74/60))</f>
        <v/>
      </c>
    </row>
    <row r="75">
      <c r="A75" s="22" t="n"/>
      <c r="B75" s="23" t="n"/>
      <c r="C75" s="24" t="n"/>
      <c r="D75" s="24" t="n"/>
      <c r="E75" s="24" t="n"/>
      <c r="F75" s="22" t="n"/>
      <c r="G75" s="25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2" t="n"/>
      <c r="Q75" s="24" t="n"/>
      <c r="R75" s="24" t="n"/>
      <c r="S75" s="27" t="n"/>
      <c r="T75" s="28">
        <f>IF(Q75="","",IF(Q75="SUCCESS",1,0))</f>
        <v/>
      </c>
      <c r="U75" s="29">
        <f>IF(OR(N75="",Q75&lt;&gt;"SUCCESS"),"",N75-SUM(I75:M75))</f>
        <v/>
      </c>
      <c r="V75" s="30">
        <f>IF(OR(N75="",N75=0,L75=""),"",L75/N75)</f>
        <v/>
      </c>
      <c r="W75" s="29">
        <f>IF(OR(N75="",G75="",G75=0),"",N75/(G75/60))</f>
        <v/>
      </c>
    </row>
    <row r="76">
      <c r="A76" s="22" t="n"/>
      <c r="B76" s="23" t="n"/>
      <c r="C76" s="24" t="n"/>
      <c r="D76" s="24" t="n"/>
      <c r="E76" s="24" t="n"/>
      <c r="F76" s="22" t="n"/>
      <c r="G76" s="25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2" t="n"/>
      <c r="Q76" s="24" t="n"/>
      <c r="R76" s="24" t="n"/>
      <c r="S76" s="27" t="n"/>
      <c r="T76" s="28">
        <f>IF(Q76="","",IF(Q76="SUCCESS",1,0))</f>
        <v/>
      </c>
      <c r="U76" s="29">
        <f>IF(OR(N76="",Q76&lt;&gt;"SUCCESS"),"",N76-SUM(I76:M76))</f>
        <v/>
      </c>
      <c r="V76" s="30">
        <f>IF(OR(N76="",N76=0,L76=""),"",L76/N76)</f>
        <v/>
      </c>
      <c r="W76" s="29">
        <f>IF(OR(N76="",G76="",G76=0),"",N76/(G76/60))</f>
        <v/>
      </c>
    </row>
    <row r="77">
      <c r="A77" s="22" t="n"/>
      <c r="B77" s="23" t="n"/>
      <c r="C77" s="24" t="n"/>
      <c r="D77" s="24" t="n"/>
      <c r="E77" s="24" t="n"/>
      <c r="F77" s="22" t="n"/>
      <c r="G77" s="25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2" t="n"/>
      <c r="Q77" s="24" t="n"/>
      <c r="R77" s="24" t="n"/>
      <c r="S77" s="27" t="n"/>
      <c r="T77" s="28">
        <f>IF(Q77="","",IF(Q77="SUCCESS",1,0))</f>
        <v/>
      </c>
      <c r="U77" s="29">
        <f>IF(OR(N77="",Q77&lt;&gt;"SUCCESS"),"",N77-SUM(I77:M77))</f>
        <v/>
      </c>
      <c r="V77" s="30">
        <f>IF(OR(N77="",N77=0,L77=""),"",L77/N77)</f>
        <v/>
      </c>
      <c r="W77" s="29">
        <f>IF(OR(N77="",G77="",G77=0),"",N77/(G77/60))</f>
        <v/>
      </c>
    </row>
    <row r="78">
      <c r="A78" s="22" t="n"/>
      <c r="B78" s="23" t="n"/>
      <c r="C78" s="24" t="n"/>
      <c r="D78" s="24" t="n"/>
      <c r="E78" s="24" t="n"/>
      <c r="F78" s="22" t="n"/>
      <c r="G78" s="25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2" t="n"/>
      <c r="Q78" s="24" t="n"/>
      <c r="R78" s="24" t="n"/>
      <c r="S78" s="27" t="n"/>
      <c r="T78" s="28">
        <f>IF(Q78="","",IF(Q78="SUCCESS",1,0))</f>
        <v/>
      </c>
      <c r="U78" s="29">
        <f>IF(OR(N78="",Q78&lt;&gt;"SUCCESS"),"",N78-SUM(I78:M78))</f>
        <v/>
      </c>
      <c r="V78" s="30">
        <f>IF(OR(N78="",N78=0,L78=""),"",L78/N78)</f>
        <v/>
      </c>
      <c r="W78" s="29">
        <f>IF(OR(N78="",G78="",G78=0),"",N78/(G78/60))</f>
        <v/>
      </c>
    </row>
    <row r="79">
      <c r="A79" s="22" t="n"/>
      <c r="B79" s="23" t="n"/>
      <c r="C79" s="24" t="n"/>
      <c r="D79" s="24" t="n"/>
      <c r="E79" s="24" t="n"/>
      <c r="F79" s="22" t="n"/>
      <c r="G79" s="25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2" t="n"/>
      <c r="Q79" s="24" t="n"/>
      <c r="R79" s="24" t="n"/>
      <c r="S79" s="27" t="n"/>
      <c r="T79" s="28">
        <f>IF(Q79="","",IF(Q79="SUCCESS",1,0))</f>
        <v/>
      </c>
      <c r="U79" s="29">
        <f>IF(OR(N79="",Q79&lt;&gt;"SUCCESS"),"",N79-SUM(I79:M79))</f>
        <v/>
      </c>
      <c r="V79" s="30">
        <f>IF(OR(N79="",N79=0,L79=""),"",L79/N79)</f>
        <v/>
      </c>
      <c r="W79" s="29">
        <f>IF(OR(N79="",G79="",G79=0),"",N79/(G79/60))</f>
        <v/>
      </c>
    </row>
    <row r="80">
      <c r="A80" s="22" t="n"/>
      <c r="B80" s="23" t="n"/>
      <c r="C80" s="24" t="n"/>
      <c r="D80" s="24" t="n"/>
      <c r="E80" s="24" t="n"/>
      <c r="F80" s="22" t="n"/>
      <c r="G80" s="25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2" t="n"/>
      <c r="Q80" s="24" t="n"/>
      <c r="R80" s="24" t="n"/>
      <c r="S80" s="27" t="n"/>
      <c r="T80" s="28">
        <f>IF(Q80="","",IF(Q80="SUCCESS",1,0))</f>
        <v/>
      </c>
      <c r="U80" s="29">
        <f>IF(OR(N80="",Q80&lt;&gt;"SUCCESS"),"",N80-SUM(I80:M80))</f>
        <v/>
      </c>
      <c r="V80" s="30">
        <f>IF(OR(N80="",N80=0,L80=""),"",L80/N80)</f>
        <v/>
      </c>
      <c r="W80" s="29">
        <f>IF(OR(N80="",G80="",G80=0),"",N80/(G80/60))</f>
        <v/>
      </c>
    </row>
    <row r="81">
      <c r="A81" s="22" t="n"/>
      <c r="B81" s="23" t="n"/>
      <c r="C81" s="24" t="n"/>
      <c r="D81" s="24" t="n"/>
      <c r="E81" s="24" t="n"/>
      <c r="F81" s="22" t="n"/>
      <c r="G81" s="25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2" t="n"/>
      <c r="Q81" s="24" t="n"/>
      <c r="R81" s="24" t="n"/>
      <c r="S81" s="27" t="n"/>
      <c r="T81" s="28">
        <f>IF(Q81="","",IF(Q81="SUCCESS",1,0))</f>
        <v/>
      </c>
      <c r="U81" s="29">
        <f>IF(OR(N81="",Q81&lt;&gt;"SUCCESS"),"",N81-SUM(I81:M81))</f>
        <v/>
      </c>
      <c r="V81" s="30">
        <f>IF(OR(N81="",N81=0,L81=""),"",L81/N81)</f>
        <v/>
      </c>
      <c r="W81" s="29">
        <f>IF(OR(N81="",G81="",G81=0),"",N81/(G81/60))</f>
        <v/>
      </c>
    </row>
    <row r="82">
      <c r="A82" s="22" t="n"/>
      <c r="B82" s="23" t="n"/>
      <c r="C82" s="24" t="n"/>
      <c r="D82" s="24" t="n"/>
      <c r="E82" s="24" t="n"/>
      <c r="F82" s="22" t="n"/>
      <c r="G82" s="25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2" t="n"/>
      <c r="Q82" s="24" t="n"/>
      <c r="R82" s="24" t="n"/>
      <c r="S82" s="27" t="n"/>
      <c r="T82" s="28">
        <f>IF(Q82="","",IF(Q82="SUCCESS",1,0))</f>
        <v/>
      </c>
      <c r="U82" s="29">
        <f>IF(OR(N82="",Q82&lt;&gt;"SUCCESS"),"",N82-SUM(I82:M82))</f>
        <v/>
      </c>
      <c r="V82" s="30">
        <f>IF(OR(N82="",N82=0,L82=""),"",L82/N82)</f>
        <v/>
      </c>
      <c r="W82" s="29">
        <f>IF(OR(N82="",G82="",G82=0),"",N82/(G82/60))</f>
        <v/>
      </c>
    </row>
    <row r="83">
      <c r="A83" s="22" t="n"/>
      <c r="B83" s="23" t="n"/>
      <c r="C83" s="24" t="n"/>
      <c r="D83" s="24" t="n"/>
      <c r="E83" s="24" t="n"/>
      <c r="F83" s="22" t="n"/>
      <c r="G83" s="25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2" t="n"/>
      <c r="Q83" s="24" t="n"/>
      <c r="R83" s="24" t="n"/>
      <c r="S83" s="27" t="n"/>
      <c r="T83" s="28">
        <f>IF(Q83="","",IF(Q83="SUCCESS",1,0))</f>
        <v/>
      </c>
      <c r="U83" s="29">
        <f>IF(OR(N83="",Q83&lt;&gt;"SUCCESS"),"",N83-SUM(I83:M83))</f>
        <v/>
      </c>
      <c r="V83" s="30">
        <f>IF(OR(N83="",N83=0,L83=""),"",L83/N83)</f>
        <v/>
      </c>
      <c r="W83" s="29">
        <f>IF(OR(N83="",G83="",G83=0),"",N83/(G83/60))</f>
        <v/>
      </c>
    </row>
    <row r="84">
      <c r="A84" s="22" t="n"/>
      <c r="B84" s="23" t="n"/>
      <c r="C84" s="24" t="n"/>
      <c r="D84" s="24" t="n"/>
      <c r="E84" s="24" t="n"/>
      <c r="F84" s="22" t="n"/>
      <c r="G84" s="25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2" t="n"/>
      <c r="Q84" s="24" t="n"/>
      <c r="R84" s="24" t="n"/>
      <c r="S84" s="27" t="n"/>
      <c r="T84" s="28">
        <f>IF(Q84="","",IF(Q84="SUCCESS",1,0))</f>
        <v/>
      </c>
      <c r="U84" s="29">
        <f>IF(OR(N84="",Q84&lt;&gt;"SUCCESS"),"",N84-SUM(I84:M84))</f>
        <v/>
      </c>
      <c r="V84" s="30">
        <f>IF(OR(N84="",N84=0,L84=""),"",L84/N84)</f>
        <v/>
      </c>
      <c r="W84" s="29">
        <f>IF(OR(N84="",G84="",G84=0),"",N84/(G84/60))</f>
        <v/>
      </c>
    </row>
    <row r="85">
      <c r="A85" s="22" t="n"/>
      <c r="B85" s="23" t="n"/>
      <c r="C85" s="24" t="n"/>
      <c r="D85" s="24" t="n"/>
      <c r="E85" s="24" t="n"/>
      <c r="F85" s="22" t="n"/>
      <c r="G85" s="25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2" t="n"/>
      <c r="Q85" s="24" t="n"/>
      <c r="R85" s="24" t="n"/>
      <c r="S85" s="27" t="n"/>
      <c r="T85" s="28">
        <f>IF(Q85="","",IF(Q85="SUCCESS",1,0))</f>
        <v/>
      </c>
      <c r="U85" s="29">
        <f>IF(OR(N85="",Q85&lt;&gt;"SUCCESS"),"",N85-SUM(I85:M85))</f>
        <v/>
      </c>
      <c r="V85" s="30">
        <f>IF(OR(N85="",N85=0,L85=""),"",L85/N85)</f>
        <v/>
      </c>
      <c r="W85" s="29">
        <f>IF(OR(N85="",G85="",G85=0),"",N85/(G85/60))</f>
        <v/>
      </c>
    </row>
    <row r="86">
      <c r="A86" s="22" t="n"/>
      <c r="B86" s="23" t="n"/>
      <c r="C86" s="24" t="n"/>
      <c r="D86" s="24" t="n"/>
      <c r="E86" s="24" t="n"/>
      <c r="F86" s="22" t="n"/>
      <c r="G86" s="25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2" t="n"/>
      <c r="Q86" s="24" t="n"/>
      <c r="R86" s="24" t="n"/>
      <c r="S86" s="27" t="n"/>
      <c r="T86" s="28">
        <f>IF(Q86="","",IF(Q86="SUCCESS",1,0))</f>
        <v/>
      </c>
      <c r="U86" s="29">
        <f>IF(OR(N86="",Q86&lt;&gt;"SUCCESS"),"",N86-SUM(I86:M86))</f>
        <v/>
      </c>
      <c r="V86" s="30">
        <f>IF(OR(N86="",N86=0,L86=""),"",L86/N86)</f>
        <v/>
      </c>
      <c r="W86" s="29">
        <f>IF(OR(N86="",G86="",G86=0),"",N86/(G86/60))</f>
        <v/>
      </c>
    </row>
    <row r="87">
      <c r="A87" s="22" t="n"/>
      <c r="B87" s="23" t="n"/>
      <c r="C87" s="24" t="n"/>
      <c r="D87" s="24" t="n"/>
      <c r="E87" s="24" t="n"/>
      <c r="F87" s="22" t="n"/>
      <c r="G87" s="25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2" t="n"/>
      <c r="Q87" s="24" t="n"/>
      <c r="R87" s="24" t="n"/>
      <c r="S87" s="27" t="n"/>
      <c r="T87" s="28">
        <f>IF(Q87="","",IF(Q87="SUCCESS",1,0))</f>
        <v/>
      </c>
      <c r="U87" s="29">
        <f>IF(OR(N87="",Q87&lt;&gt;"SUCCESS"),"",N87-SUM(I87:M87))</f>
        <v/>
      </c>
      <c r="V87" s="30">
        <f>IF(OR(N87="",N87=0,L87=""),"",L87/N87)</f>
        <v/>
      </c>
      <c r="W87" s="29">
        <f>IF(OR(N87="",G87="",G87=0),"",N87/(G87/60))</f>
        <v/>
      </c>
    </row>
    <row r="88">
      <c r="A88" s="22" t="n"/>
      <c r="B88" s="23" t="n"/>
      <c r="C88" s="24" t="n"/>
      <c r="D88" s="24" t="n"/>
      <c r="E88" s="24" t="n"/>
      <c r="F88" s="22" t="n"/>
      <c r="G88" s="25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2" t="n"/>
      <c r="Q88" s="24" t="n"/>
      <c r="R88" s="24" t="n"/>
      <c r="S88" s="27" t="n"/>
      <c r="T88" s="28">
        <f>IF(Q88="","",IF(Q88="SUCCESS",1,0))</f>
        <v/>
      </c>
      <c r="U88" s="29">
        <f>IF(OR(N88="",Q88&lt;&gt;"SUCCESS"),"",N88-SUM(I88:M88))</f>
        <v/>
      </c>
      <c r="V88" s="30">
        <f>IF(OR(N88="",N88=0,L88=""),"",L88/N88)</f>
        <v/>
      </c>
      <c r="W88" s="29">
        <f>IF(OR(N88="",G88="",G88=0),"",N88/(G88/60))</f>
        <v/>
      </c>
    </row>
    <row r="89">
      <c r="A89" s="22" t="n"/>
      <c r="B89" s="23" t="n"/>
      <c r="C89" s="24" t="n"/>
      <c r="D89" s="24" t="n"/>
      <c r="E89" s="24" t="n"/>
      <c r="F89" s="22" t="n"/>
      <c r="G89" s="25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2" t="n"/>
      <c r="Q89" s="24" t="n"/>
      <c r="R89" s="24" t="n"/>
      <c r="S89" s="27" t="n"/>
      <c r="T89" s="28">
        <f>IF(Q89="","",IF(Q89="SUCCESS",1,0))</f>
        <v/>
      </c>
      <c r="U89" s="29">
        <f>IF(OR(N89="",Q89&lt;&gt;"SUCCESS"),"",N89-SUM(I89:M89))</f>
        <v/>
      </c>
      <c r="V89" s="30">
        <f>IF(OR(N89="",N89=0,L89=""),"",L89/N89)</f>
        <v/>
      </c>
      <c r="W89" s="29">
        <f>IF(OR(N89="",G89="",G89=0),"",N89/(G89/60))</f>
        <v/>
      </c>
    </row>
    <row r="90">
      <c r="A90" s="22" t="n"/>
      <c r="B90" s="23" t="n"/>
      <c r="C90" s="24" t="n"/>
      <c r="D90" s="24" t="n"/>
      <c r="E90" s="24" t="n"/>
      <c r="F90" s="22" t="n"/>
      <c r="G90" s="25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2" t="n"/>
      <c r="Q90" s="24" t="n"/>
      <c r="R90" s="24" t="n"/>
      <c r="S90" s="27" t="n"/>
      <c r="T90" s="28">
        <f>IF(Q90="","",IF(Q90="SUCCESS",1,0))</f>
        <v/>
      </c>
      <c r="U90" s="29">
        <f>IF(OR(N90="",Q90&lt;&gt;"SUCCESS"),"",N90-SUM(I90:M90))</f>
        <v/>
      </c>
      <c r="V90" s="30">
        <f>IF(OR(N90="",N90=0,L90=""),"",L90/N90)</f>
        <v/>
      </c>
      <c r="W90" s="29">
        <f>IF(OR(N90="",G90="",G90=0),"",N90/(G90/60))</f>
        <v/>
      </c>
    </row>
    <row r="91">
      <c r="A91" s="22" t="n"/>
      <c r="B91" s="23" t="n"/>
      <c r="C91" s="24" t="n"/>
      <c r="D91" s="24" t="n"/>
      <c r="E91" s="24" t="n"/>
      <c r="F91" s="22" t="n"/>
      <c r="G91" s="25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2" t="n"/>
      <c r="Q91" s="24" t="n"/>
      <c r="R91" s="24" t="n"/>
      <c r="S91" s="27" t="n"/>
      <c r="T91" s="28">
        <f>IF(Q91="","",IF(Q91="SUCCESS",1,0))</f>
        <v/>
      </c>
      <c r="U91" s="29">
        <f>IF(OR(N91="",Q91&lt;&gt;"SUCCESS"),"",N91-SUM(I91:M91))</f>
        <v/>
      </c>
      <c r="V91" s="30">
        <f>IF(OR(N91="",N91=0,L91=""),"",L91/N91)</f>
        <v/>
      </c>
      <c r="W91" s="29">
        <f>IF(OR(N91="",G91="",G91=0),"",N91/(G91/60))</f>
        <v/>
      </c>
    </row>
    <row r="92">
      <c r="A92" s="22" t="n"/>
      <c r="B92" s="23" t="n"/>
      <c r="C92" s="24" t="n"/>
      <c r="D92" s="24" t="n"/>
      <c r="E92" s="24" t="n"/>
      <c r="F92" s="22" t="n"/>
      <c r="G92" s="25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2" t="n"/>
      <c r="Q92" s="24" t="n"/>
      <c r="R92" s="24" t="n"/>
      <c r="S92" s="27" t="n"/>
      <c r="T92" s="28">
        <f>IF(Q92="","",IF(Q92="SUCCESS",1,0))</f>
        <v/>
      </c>
      <c r="U92" s="29">
        <f>IF(OR(N92="",Q92&lt;&gt;"SUCCESS"),"",N92-SUM(I92:M92))</f>
        <v/>
      </c>
      <c r="V92" s="30">
        <f>IF(OR(N92="",N92=0,L92=""),"",L92/N92)</f>
        <v/>
      </c>
      <c r="W92" s="29">
        <f>IF(OR(N92="",G92="",G92=0),"",N92/(G92/60))</f>
        <v/>
      </c>
    </row>
    <row r="93">
      <c r="A93" s="22" t="n"/>
      <c r="B93" s="23" t="n"/>
      <c r="C93" s="24" t="n"/>
      <c r="D93" s="24" t="n"/>
      <c r="E93" s="24" t="n"/>
      <c r="F93" s="22" t="n"/>
      <c r="G93" s="25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2" t="n"/>
      <c r="Q93" s="24" t="n"/>
      <c r="R93" s="24" t="n"/>
      <c r="S93" s="27" t="n"/>
      <c r="T93" s="28">
        <f>IF(Q93="","",IF(Q93="SUCCESS",1,0))</f>
        <v/>
      </c>
      <c r="U93" s="29">
        <f>IF(OR(N93="",Q93&lt;&gt;"SUCCESS"),"",N93-SUM(I93:M93))</f>
        <v/>
      </c>
      <c r="V93" s="30">
        <f>IF(OR(N93="",N93=0,L93=""),"",L93/N93)</f>
        <v/>
      </c>
      <c r="W93" s="29">
        <f>IF(OR(N93="",G93="",G93=0),"",N93/(G93/60))</f>
        <v/>
      </c>
    </row>
    <row r="94">
      <c r="A94" s="22" t="n"/>
      <c r="B94" s="23" t="n"/>
      <c r="C94" s="24" t="n"/>
      <c r="D94" s="24" t="n"/>
      <c r="E94" s="24" t="n"/>
      <c r="F94" s="22" t="n"/>
      <c r="G94" s="25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2" t="n"/>
      <c r="Q94" s="24" t="n"/>
      <c r="R94" s="24" t="n"/>
      <c r="S94" s="27" t="n"/>
      <c r="T94" s="28">
        <f>IF(Q94="","",IF(Q94="SUCCESS",1,0))</f>
        <v/>
      </c>
      <c r="U94" s="29">
        <f>IF(OR(N94="",Q94&lt;&gt;"SUCCESS"),"",N94-SUM(I94:M94))</f>
        <v/>
      </c>
      <c r="V94" s="30">
        <f>IF(OR(N94="",N94=0,L94=""),"",L94/N94)</f>
        <v/>
      </c>
      <c r="W94" s="29">
        <f>IF(OR(N94="",G94="",G94=0),"",N94/(G94/60))</f>
        <v/>
      </c>
    </row>
    <row r="95">
      <c r="A95" s="22" t="n"/>
      <c r="B95" s="23" t="n"/>
      <c r="C95" s="24" t="n"/>
      <c r="D95" s="24" t="n"/>
      <c r="E95" s="24" t="n"/>
      <c r="F95" s="22" t="n"/>
      <c r="G95" s="25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2" t="n"/>
      <c r="Q95" s="24" t="n"/>
      <c r="R95" s="24" t="n"/>
      <c r="S95" s="27" t="n"/>
      <c r="T95" s="28">
        <f>IF(Q95="","",IF(Q95="SUCCESS",1,0))</f>
        <v/>
      </c>
      <c r="U95" s="29">
        <f>IF(OR(N95="",Q95&lt;&gt;"SUCCESS"),"",N95-SUM(I95:M95))</f>
        <v/>
      </c>
      <c r="V95" s="30">
        <f>IF(OR(N95="",N95=0,L95=""),"",L95/N95)</f>
        <v/>
      </c>
      <c r="W95" s="29">
        <f>IF(OR(N95="",G95="",G95=0),"",N95/(G95/60))</f>
        <v/>
      </c>
    </row>
    <row r="96">
      <c r="A96" s="22" t="n"/>
      <c r="B96" s="23" t="n"/>
      <c r="C96" s="24" t="n"/>
      <c r="D96" s="24" t="n"/>
      <c r="E96" s="24" t="n"/>
      <c r="F96" s="22" t="n"/>
      <c r="G96" s="25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2" t="n"/>
      <c r="Q96" s="24" t="n"/>
      <c r="R96" s="24" t="n"/>
      <c r="S96" s="27" t="n"/>
      <c r="T96" s="28">
        <f>IF(Q96="","",IF(Q96="SUCCESS",1,0))</f>
        <v/>
      </c>
      <c r="U96" s="29">
        <f>IF(OR(N96="",Q96&lt;&gt;"SUCCESS"),"",N96-SUM(I96:M96))</f>
        <v/>
      </c>
      <c r="V96" s="30">
        <f>IF(OR(N96="",N96=0,L96=""),"",L96/N96)</f>
        <v/>
      </c>
      <c r="W96" s="29">
        <f>IF(OR(N96="",G96="",G96=0),"",N96/(G96/60))</f>
        <v/>
      </c>
    </row>
    <row r="97">
      <c r="A97" s="22" t="n"/>
      <c r="B97" s="23" t="n"/>
      <c r="C97" s="24" t="n"/>
      <c r="D97" s="24" t="n"/>
      <c r="E97" s="24" t="n"/>
      <c r="F97" s="22" t="n"/>
      <c r="G97" s="25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2" t="n"/>
      <c r="Q97" s="24" t="n"/>
      <c r="R97" s="24" t="n"/>
      <c r="S97" s="27" t="n"/>
      <c r="T97" s="28">
        <f>IF(Q97="","",IF(Q97="SUCCESS",1,0))</f>
        <v/>
      </c>
      <c r="U97" s="29">
        <f>IF(OR(N97="",Q97&lt;&gt;"SUCCESS"),"",N97-SUM(I97:M97))</f>
        <v/>
      </c>
      <c r="V97" s="30">
        <f>IF(OR(N97="",N97=0,L97=""),"",L97/N97)</f>
        <v/>
      </c>
      <c r="W97" s="29">
        <f>IF(OR(N97="",G97="",G97=0),"",N97/(G97/60))</f>
        <v/>
      </c>
    </row>
    <row r="98">
      <c r="A98" s="22" t="n"/>
      <c r="B98" s="23" t="n"/>
      <c r="C98" s="24" t="n"/>
      <c r="D98" s="24" t="n"/>
      <c r="E98" s="24" t="n"/>
      <c r="F98" s="22" t="n"/>
      <c r="G98" s="25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2" t="n"/>
      <c r="Q98" s="24" t="n"/>
      <c r="R98" s="24" t="n"/>
      <c r="S98" s="27" t="n"/>
      <c r="T98" s="28">
        <f>IF(Q98="","",IF(Q98="SUCCESS",1,0))</f>
        <v/>
      </c>
      <c r="U98" s="29">
        <f>IF(OR(N98="",Q98&lt;&gt;"SUCCESS"),"",N98-SUM(I98:M98))</f>
        <v/>
      </c>
      <c r="V98" s="30">
        <f>IF(OR(N98="",N98=0,L98=""),"",L98/N98)</f>
        <v/>
      </c>
      <c r="W98" s="29">
        <f>IF(OR(N98="",G98="",G98=0),"",N98/(G98/60))</f>
        <v/>
      </c>
    </row>
    <row r="99">
      <c r="A99" s="22" t="n"/>
      <c r="B99" s="23" t="n"/>
      <c r="C99" s="24" t="n"/>
      <c r="D99" s="24" t="n"/>
      <c r="E99" s="24" t="n"/>
      <c r="F99" s="22" t="n"/>
      <c r="G99" s="25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2" t="n"/>
      <c r="Q99" s="24" t="n"/>
      <c r="R99" s="24" t="n"/>
      <c r="S99" s="27" t="n"/>
      <c r="T99" s="28">
        <f>IF(Q99="","",IF(Q99="SUCCESS",1,0))</f>
        <v/>
      </c>
      <c r="U99" s="29">
        <f>IF(OR(N99="",Q99&lt;&gt;"SUCCESS"),"",N99-SUM(I99:M99))</f>
        <v/>
      </c>
      <c r="V99" s="30">
        <f>IF(OR(N99="",N99=0,L99=""),"",L99/N99)</f>
        <v/>
      </c>
      <c r="W99" s="29">
        <f>IF(OR(N99="",G99="",G99=0),"",N99/(G99/60))</f>
        <v/>
      </c>
    </row>
    <row r="100">
      <c r="A100" s="22" t="n"/>
      <c r="B100" s="23" t="n"/>
      <c r="C100" s="24" t="n"/>
      <c r="D100" s="24" t="n"/>
      <c r="E100" s="24" t="n"/>
      <c r="F100" s="22" t="n"/>
      <c r="G100" s="25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2" t="n"/>
      <c r="Q100" s="24" t="n"/>
      <c r="R100" s="24" t="n"/>
      <c r="S100" s="27" t="n"/>
      <c r="T100" s="28">
        <f>IF(Q100="","",IF(Q100="SUCCESS",1,0))</f>
        <v/>
      </c>
      <c r="U100" s="29">
        <f>IF(OR(N100="",Q100&lt;&gt;"SUCCESS"),"",N100-SUM(I100:M100))</f>
        <v/>
      </c>
      <c r="V100" s="30">
        <f>IF(OR(N100="",N100=0,L100=""),"",L100/N100)</f>
        <v/>
      </c>
      <c r="W100" s="29">
        <f>IF(OR(N100="",G100="",G100=0),"",N100/(G100/60))</f>
        <v/>
      </c>
    </row>
    <row r="101">
      <c r="A101" s="22" t="n"/>
      <c r="B101" s="23" t="n"/>
      <c r="C101" s="24" t="n"/>
      <c r="D101" s="24" t="n"/>
      <c r="E101" s="24" t="n"/>
      <c r="F101" s="22" t="n"/>
      <c r="G101" s="25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2" t="n"/>
      <c r="Q101" s="24" t="n"/>
      <c r="R101" s="24" t="n"/>
      <c r="S101" s="27" t="n"/>
      <c r="T101" s="28">
        <f>IF(Q101="","",IF(Q101="SUCCESS",1,0))</f>
        <v/>
      </c>
      <c r="U101" s="29">
        <f>IF(OR(N101="",Q101&lt;&gt;"SUCCESS"),"",N101-SUM(I101:M101))</f>
        <v/>
      </c>
      <c r="V101" s="30">
        <f>IF(OR(N101="",N101=0,L101=""),"",L101/N101)</f>
        <v/>
      </c>
      <c r="W101" s="29">
        <f>IF(OR(N101="",G101="",G101=0),"",N101/(G101/60))</f>
        <v/>
      </c>
    </row>
    <row r="102">
      <c r="A102" s="22" t="n"/>
      <c r="B102" s="23" t="n"/>
      <c r="C102" s="24" t="n"/>
      <c r="D102" s="24" t="n"/>
      <c r="E102" s="24" t="n"/>
      <c r="F102" s="22" t="n"/>
      <c r="G102" s="25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2" t="n"/>
      <c r="Q102" s="24" t="n"/>
      <c r="R102" s="24" t="n"/>
      <c r="S102" s="27" t="n"/>
      <c r="T102" s="28">
        <f>IF(Q102="","",IF(Q102="SUCCESS",1,0))</f>
        <v/>
      </c>
      <c r="U102" s="29">
        <f>IF(OR(N102="",Q102&lt;&gt;"SUCCESS"),"",N102-SUM(I102:M102))</f>
        <v/>
      </c>
      <c r="V102" s="30">
        <f>IF(OR(N102="",N102=0,L102=""),"",L102/N102)</f>
        <v/>
      </c>
      <c r="W102" s="29">
        <f>IF(OR(N102="",G102="",G102=0),"",N102/(G102/60))</f>
        <v/>
      </c>
    </row>
    <row r="103">
      <c r="A103" s="22" t="n"/>
      <c r="B103" s="23" t="n"/>
      <c r="C103" s="24" t="n"/>
      <c r="D103" s="24" t="n"/>
      <c r="E103" s="24" t="n"/>
      <c r="F103" s="22" t="n"/>
      <c r="G103" s="25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2" t="n"/>
      <c r="Q103" s="24" t="n"/>
      <c r="R103" s="24" t="n"/>
      <c r="S103" s="27" t="n"/>
      <c r="T103" s="28">
        <f>IF(Q103="","",IF(Q103="SUCCESS",1,0))</f>
        <v/>
      </c>
      <c r="U103" s="29">
        <f>IF(OR(N103="",Q103&lt;&gt;"SUCCESS"),"",N103-SUM(I103:M103))</f>
        <v/>
      </c>
      <c r="V103" s="30">
        <f>IF(OR(N103="",N103=0,L103=""),"",L103/N103)</f>
        <v/>
      </c>
      <c r="W103" s="29">
        <f>IF(OR(N103="",G103="",G103=0),"",N103/(G103/60))</f>
        <v/>
      </c>
    </row>
    <row r="104">
      <c r="A104" s="22" t="n"/>
      <c r="B104" s="23" t="n"/>
      <c r="C104" s="24" t="n"/>
      <c r="D104" s="24" t="n"/>
      <c r="E104" s="24" t="n"/>
      <c r="F104" s="22" t="n"/>
      <c r="G104" s="25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2" t="n"/>
      <c r="Q104" s="24" t="n"/>
      <c r="R104" s="24" t="n"/>
      <c r="S104" s="27" t="n"/>
      <c r="T104" s="28">
        <f>IF(Q104="","",IF(Q104="SUCCESS",1,0))</f>
        <v/>
      </c>
      <c r="U104" s="29">
        <f>IF(OR(N104="",Q104&lt;&gt;"SUCCESS"),"",N104-SUM(I104:M104))</f>
        <v/>
      </c>
      <c r="V104" s="30">
        <f>IF(OR(N104="",N104=0,L104=""),"",L104/N104)</f>
        <v/>
      </c>
      <c r="W104" s="29">
        <f>IF(OR(N104="",G104="",G104=0),"",N104/(G104/60))</f>
        <v/>
      </c>
    </row>
    <row r="105">
      <c r="A105" s="22" t="n"/>
      <c r="B105" s="23" t="n"/>
      <c r="C105" s="24" t="n"/>
      <c r="D105" s="24" t="n"/>
      <c r="E105" s="24" t="n"/>
      <c r="F105" s="22" t="n"/>
      <c r="G105" s="25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2" t="n"/>
      <c r="Q105" s="24" t="n"/>
      <c r="R105" s="24" t="n"/>
      <c r="S105" s="27" t="n"/>
      <c r="T105" s="28">
        <f>IF(Q105="","",IF(Q105="SUCCESS",1,0))</f>
        <v/>
      </c>
      <c r="U105" s="29">
        <f>IF(OR(N105="",Q105&lt;&gt;"SUCCESS"),"",N105-SUM(I105:M105))</f>
        <v/>
      </c>
      <c r="V105" s="30">
        <f>IF(OR(N105="",N105=0,L105=""),"",L105/N105)</f>
        <v/>
      </c>
      <c r="W105" s="29">
        <f>IF(OR(N105="",G105="",G105=0),"",N105/(G105/60))</f>
        <v/>
      </c>
    </row>
    <row r="106">
      <c r="A106" s="22" t="n"/>
      <c r="B106" s="23" t="n"/>
      <c r="C106" s="24" t="n"/>
      <c r="D106" s="24" t="n"/>
      <c r="E106" s="24" t="n"/>
      <c r="F106" s="22" t="n"/>
      <c r="G106" s="25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2" t="n"/>
      <c r="Q106" s="24" t="n"/>
      <c r="R106" s="24" t="n"/>
      <c r="S106" s="27" t="n"/>
      <c r="T106" s="28">
        <f>IF(Q106="","",IF(Q106="SUCCESS",1,0))</f>
        <v/>
      </c>
      <c r="U106" s="29">
        <f>IF(OR(N106="",Q106&lt;&gt;"SUCCESS"),"",N106-SUM(I106:M106))</f>
        <v/>
      </c>
      <c r="V106" s="30">
        <f>IF(OR(N106="",N106=0,L106=""),"",L106/N106)</f>
        <v/>
      </c>
      <c r="W106" s="29">
        <f>IF(OR(N106="",G106="",G106=0),"",N106/(G106/60))</f>
        <v/>
      </c>
    </row>
    <row r="107">
      <c r="A107" s="22" t="n"/>
      <c r="B107" s="23" t="n"/>
      <c r="C107" s="24" t="n"/>
      <c r="D107" s="24" t="n"/>
      <c r="E107" s="24" t="n"/>
      <c r="F107" s="22" t="n"/>
      <c r="G107" s="25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2" t="n"/>
      <c r="Q107" s="24" t="n"/>
      <c r="R107" s="24" t="n"/>
      <c r="S107" s="27" t="n"/>
      <c r="T107" s="28">
        <f>IF(Q107="","",IF(Q107="SUCCESS",1,0))</f>
        <v/>
      </c>
      <c r="U107" s="29">
        <f>IF(OR(N107="",Q107&lt;&gt;"SUCCESS"),"",N107-SUM(I107:M107))</f>
        <v/>
      </c>
      <c r="V107" s="30">
        <f>IF(OR(N107="",N107=0,L107=""),"",L107/N107)</f>
        <v/>
      </c>
      <c r="W107" s="29">
        <f>IF(OR(N107="",G107="",G107=0),"",N107/(G107/60))</f>
        <v/>
      </c>
    </row>
    <row r="108">
      <c r="A108" s="22" t="n"/>
      <c r="B108" s="23" t="n"/>
      <c r="C108" s="24" t="n"/>
      <c r="D108" s="24" t="n"/>
      <c r="E108" s="24" t="n"/>
      <c r="F108" s="22" t="n"/>
      <c r="G108" s="25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2" t="n"/>
      <c r="Q108" s="24" t="n"/>
      <c r="R108" s="24" t="n"/>
      <c r="S108" s="27" t="n"/>
      <c r="T108" s="28">
        <f>IF(Q108="","",IF(Q108="SUCCESS",1,0))</f>
        <v/>
      </c>
      <c r="U108" s="29">
        <f>IF(OR(N108="",Q108&lt;&gt;"SUCCESS"),"",N108-SUM(I108:M108))</f>
        <v/>
      </c>
      <c r="V108" s="30">
        <f>IF(OR(N108="",N108=0,L108=""),"",L108/N108)</f>
        <v/>
      </c>
      <c r="W108" s="29">
        <f>IF(OR(N108="",G108="",G108=0),"",N108/(G108/60))</f>
        <v/>
      </c>
    </row>
    <row r="109">
      <c r="A109" s="22" t="n"/>
      <c r="B109" s="23" t="n"/>
      <c r="C109" s="24" t="n"/>
      <c r="D109" s="24" t="n"/>
      <c r="E109" s="24" t="n"/>
      <c r="F109" s="22" t="n"/>
      <c r="G109" s="25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2" t="n"/>
      <c r="Q109" s="24" t="n"/>
      <c r="R109" s="24" t="n"/>
      <c r="S109" s="27" t="n"/>
      <c r="T109" s="28">
        <f>IF(Q109="","",IF(Q109="SUCCESS",1,0))</f>
        <v/>
      </c>
      <c r="U109" s="29">
        <f>IF(OR(N109="",Q109&lt;&gt;"SUCCESS"),"",N109-SUM(I109:M109))</f>
        <v/>
      </c>
      <c r="V109" s="30">
        <f>IF(OR(N109="",N109=0,L109=""),"",L109/N109)</f>
        <v/>
      </c>
      <c r="W109" s="29">
        <f>IF(OR(N109="",G109="",G109=0),"",N109/(G109/60))</f>
        <v/>
      </c>
    </row>
    <row r="110">
      <c r="A110" s="22" t="n"/>
      <c r="B110" s="23" t="n"/>
      <c r="C110" s="24" t="n"/>
      <c r="D110" s="24" t="n"/>
      <c r="E110" s="24" t="n"/>
      <c r="F110" s="22" t="n"/>
      <c r="G110" s="25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2" t="n"/>
      <c r="Q110" s="24" t="n"/>
      <c r="R110" s="24" t="n"/>
      <c r="S110" s="27" t="n"/>
      <c r="T110" s="28">
        <f>IF(Q110="","",IF(Q110="SUCCESS",1,0))</f>
        <v/>
      </c>
      <c r="U110" s="29">
        <f>IF(OR(N110="",Q110&lt;&gt;"SUCCESS"),"",N110-SUM(I110:M110))</f>
        <v/>
      </c>
      <c r="V110" s="30">
        <f>IF(OR(N110="",N110=0,L110=""),"",L110/N110)</f>
        <v/>
      </c>
      <c r="W110" s="29">
        <f>IF(OR(N110="",G110="",G110=0),"",N110/(G110/60))</f>
        <v/>
      </c>
    </row>
    <row r="111">
      <c r="A111" s="22" t="n"/>
      <c r="B111" s="23" t="n"/>
      <c r="C111" s="24" t="n"/>
      <c r="D111" s="24" t="n"/>
      <c r="E111" s="24" t="n"/>
      <c r="F111" s="22" t="n"/>
      <c r="G111" s="25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2" t="n"/>
      <c r="Q111" s="24" t="n"/>
      <c r="R111" s="24" t="n"/>
      <c r="S111" s="27" t="n"/>
      <c r="T111" s="28">
        <f>IF(Q111="","",IF(Q111="SUCCESS",1,0))</f>
        <v/>
      </c>
      <c r="U111" s="29">
        <f>IF(OR(N111="",Q111&lt;&gt;"SUCCESS"),"",N111-SUM(I111:M111))</f>
        <v/>
      </c>
      <c r="V111" s="30">
        <f>IF(OR(N111="",N111=0,L111=""),"",L111/N111)</f>
        <v/>
      </c>
      <c r="W111" s="29">
        <f>IF(OR(N111="",G111="",G111=0),"",N111/(G111/60))</f>
        <v/>
      </c>
    </row>
    <row r="112">
      <c r="A112" s="22" t="n"/>
      <c r="B112" s="23" t="n"/>
      <c r="C112" s="24" t="n"/>
      <c r="D112" s="24" t="n"/>
      <c r="E112" s="24" t="n"/>
      <c r="F112" s="22" t="n"/>
      <c r="G112" s="25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2" t="n"/>
      <c r="Q112" s="24" t="n"/>
      <c r="R112" s="24" t="n"/>
      <c r="S112" s="27" t="n"/>
      <c r="T112" s="28">
        <f>IF(Q112="","",IF(Q112="SUCCESS",1,0))</f>
        <v/>
      </c>
      <c r="U112" s="29">
        <f>IF(OR(N112="",Q112&lt;&gt;"SUCCESS"),"",N112-SUM(I112:M112))</f>
        <v/>
      </c>
      <c r="V112" s="30">
        <f>IF(OR(N112="",N112=0,L112=""),"",L112/N112)</f>
        <v/>
      </c>
      <c r="W112" s="29">
        <f>IF(OR(N112="",G112="",G112=0),"",N112/(G112/60))</f>
        <v/>
      </c>
    </row>
    <row r="113">
      <c r="A113" s="22" t="n"/>
      <c r="B113" s="23" t="n"/>
      <c r="C113" s="24" t="n"/>
      <c r="D113" s="24" t="n"/>
      <c r="E113" s="24" t="n"/>
      <c r="F113" s="22" t="n"/>
      <c r="G113" s="25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2" t="n"/>
      <c r="Q113" s="24" t="n"/>
      <c r="R113" s="24" t="n"/>
      <c r="S113" s="27" t="n"/>
      <c r="T113" s="28">
        <f>IF(Q113="","",IF(Q113="SUCCESS",1,0))</f>
        <v/>
      </c>
      <c r="U113" s="29">
        <f>IF(OR(N113="",Q113&lt;&gt;"SUCCESS"),"",N113-SUM(I113:M113))</f>
        <v/>
      </c>
      <c r="V113" s="30">
        <f>IF(OR(N113="",N113=0,L113=""),"",L113/N113)</f>
        <v/>
      </c>
      <c r="W113" s="29">
        <f>IF(OR(N113="",G113="",G113=0),"",N113/(G113/60))</f>
        <v/>
      </c>
    </row>
    <row r="114">
      <c r="A114" s="22" t="n"/>
      <c r="B114" s="23" t="n"/>
      <c r="C114" s="24" t="n"/>
      <c r="D114" s="24" t="n"/>
      <c r="E114" s="24" t="n"/>
      <c r="F114" s="22" t="n"/>
      <c r="G114" s="25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2" t="n"/>
      <c r="Q114" s="24" t="n"/>
      <c r="R114" s="24" t="n"/>
      <c r="S114" s="27" t="n"/>
      <c r="T114" s="28">
        <f>IF(Q114="","",IF(Q114="SUCCESS",1,0))</f>
        <v/>
      </c>
      <c r="U114" s="29">
        <f>IF(OR(N114="",Q114&lt;&gt;"SUCCESS"),"",N114-SUM(I114:M114))</f>
        <v/>
      </c>
      <c r="V114" s="30">
        <f>IF(OR(N114="",N114=0,L114=""),"",L114/N114)</f>
        <v/>
      </c>
      <c r="W114" s="29">
        <f>IF(OR(N114="",G114="",G114=0),"",N114/(G114/60))</f>
        <v/>
      </c>
    </row>
    <row r="115">
      <c r="A115" s="22" t="n"/>
      <c r="B115" s="23" t="n"/>
      <c r="C115" s="24" t="n"/>
      <c r="D115" s="24" t="n"/>
      <c r="E115" s="24" t="n"/>
      <c r="F115" s="22" t="n"/>
      <c r="G115" s="25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2" t="n"/>
      <c r="Q115" s="24" t="n"/>
      <c r="R115" s="24" t="n"/>
      <c r="S115" s="27" t="n"/>
      <c r="T115" s="28">
        <f>IF(Q115="","",IF(Q115="SUCCESS",1,0))</f>
        <v/>
      </c>
      <c r="U115" s="29">
        <f>IF(OR(N115="",Q115&lt;&gt;"SUCCESS"),"",N115-SUM(I115:M115))</f>
        <v/>
      </c>
      <c r="V115" s="30">
        <f>IF(OR(N115="",N115=0,L115=""),"",L115/N115)</f>
        <v/>
      </c>
      <c r="W115" s="29">
        <f>IF(OR(N115="",G115="",G115=0),"",N115/(G115/60))</f>
        <v/>
      </c>
    </row>
    <row r="116">
      <c r="A116" s="22" t="n"/>
      <c r="B116" s="23" t="n"/>
      <c r="C116" s="24" t="n"/>
      <c r="D116" s="24" t="n"/>
      <c r="E116" s="24" t="n"/>
      <c r="F116" s="22" t="n"/>
      <c r="G116" s="25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2" t="n"/>
      <c r="Q116" s="24" t="n"/>
      <c r="R116" s="24" t="n"/>
      <c r="S116" s="27" t="n"/>
      <c r="T116" s="28">
        <f>IF(Q116="","",IF(Q116="SUCCESS",1,0))</f>
        <v/>
      </c>
      <c r="U116" s="29">
        <f>IF(OR(N116="",Q116&lt;&gt;"SUCCESS"),"",N116-SUM(I116:M116))</f>
        <v/>
      </c>
      <c r="V116" s="30">
        <f>IF(OR(N116="",N116=0,L116=""),"",L116/N116)</f>
        <v/>
      </c>
      <c r="W116" s="29">
        <f>IF(OR(N116="",G116="",G116=0),"",N116/(G116/60))</f>
        <v/>
      </c>
    </row>
    <row r="117">
      <c r="A117" s="22" t="n"/>
      <c r="B117" s="23" t="n"/>
      <c r="C117" s="24" t="n"/>
      <c r="D117" s="24" t="n"/>
      <c r="E117" s="24" t="n"/>
      <c r="F117" s="22" t="n"/>
      <c r="G117" s="25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2" t="n"/>
      <c r="Q117" s="24" t="n"/>
      <c r="R117" s="24" t="n"/>
      <c r="S117" s="27" t="n"/>
      <c r="T117" s="28">
        <f>IF(Q117="","",IF(Q117="SUCCESS",1,0))</f>
        <v/>
      </c>
      <c r="U117" s="29">
        <f>IF(OR(N117="",Q117&lt;&gt;"SUCCESS"),"",N117-SUM(I117:M117))</f>
        <v/>
      </c>
      <c r="V117" s="30">
        <f>IF(OR(N117="",N117=0,L117=""),"",L117/N117)</f>
        <v/>
      </c>
      <c r="W117" s="29">
        <f>IF(OR(N117="",G117="",G117=0),"",N117/(G117/60))</f>
        <v/>
      </c>
    </row>
    <row r="118">
      <c r="A118" s="22" t="n"/>
      <c r="B118" s="23" t="n"/>
      <c r="C118" s="24" t="n"/>
      <c r="D118" s="24" t="n"/>
      <c r="E118" s="24" t="n"/>
      <c r="F118" s="22" t="n"/>
      <c r="G118" s="25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2" t="n"/>
      <c r="Q118" s="24" t="n"/>
      <c r="R118" s="24" t="n"/>
      <c r="S118" s="27" t="n"/>
      <c r="T118" s="28">
        <f>IF(Q118="","",IF(Q118="SUCCESS",1,0))</f>
        <v/>
      </c>
      <c r="U118" s="29">
        <f>IF(OR(N118="",Q118&lt;&gt;"SUCCESS"),"",N118-SUM(I118:M118))</f>
        <v/>
      </c>
      <c r="V118" s="30">
        <f>IF(OR(N118="",N118=0,L118=""),"",L118/N118)</f>
        <v/>
      </c>
      <c r="W118" s="29">
        <f>IF(OR(N118="",G118="",G118=0),"",N118/(G118/60))</f>
        <v/>
      </c>
    </row>
    <row r="119">
      <c r="A119" s="22" t="n"/>
      <c r="B119" s="23" t="n"/>
      <c r="C119" s="24" t="n"/>
      <c r="D119" s="24" t="n"/>
      <c r="E119" s="24" t="n"/>
      <c r="F119" s="22" t="n"/>
      <c r="G119" s="25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2" t="n"/>
      <c r="Q119" s="24" t="n"/>
      <c r="R119" s="24" t="n"/>
      <c r="S119" s="27" t="n"/>
      <c r="T119" s="28">
        <f>IF(Q119="","",IF(Q119="SUCCESS",1,0))</f>
        <v/>
      </c>
      <c r="U119" s="29">
        <f>IF(OR(N119="",Q119&lt;&gt;"SUCCESS"),"",N119-SUM(I119:M119))</f>
        <v/>
      </c>
      <c r="V119" s="30">
        <f>IF(OR(N119="",N119=0,L119=""),"",L119/N119)</f>
        <v/>
      </c>
      <c r="W119" s="29">
        <f>IF(OR(N119="",G119="",G119=0),"",N119/(G119/60))</f>
        <v/>
      </c>
    </row>
    <row r="120">
      <c r="A120" s="22" t="n"/>
      <c r="B120" s="23" t="n"/>
      <c r="C120" s="24" t="n"/>
      <c r="D120" s="24" t="n"/>
      <c r="E120" s="24" t="n"/>
      <c r="F120" s="22" t="n"/>
      <c r="G120" s="25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2" t="n"/>
      <c r="Q120" s="24" t="n"/>
      <c r="R120" s="24" t="n"/>
      <c r="S120" s="27" t="n"/>
      <c r="T120" s="28">
        <f>IF(Q120="","",IF(Q120="SUCCESS",1,0))</f>
        <v/>
      </c>
      <c r="U120" s="29">
        <f>IF(OR(N120="",Q120&lt;&gt;"SUCCESS"),"",N120-SUM(I120:M120))</f>
        <v/>
      </c>
      <c r="V120" s="30">
        <f>IF(OR(N120="",N120=0,L120=""),"",L120/N120)</f>
        <v/>
      </c>
      <c r="W120" s="29">
        <f>IF(OR(N120="",G120="",G120=0),"",N120/(G120/60))</f>
        <v/>
      </c>
    </row>
    <row r="121">
      <c r="A121" s="22" t="n"/>
      <c r="B121" s="23" t="n"/>
      <c r="C121" s="24" t="n"/>
      <c r="D121" s="24" t="n"/>
      <c r="E121" s="24" t="n"/>
      <c r="F121" s="22" t="n"/>
      <c r="G121" s="25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2" t="n"/>
      <c r="Q121" s="24" t="n"/>
      <c r="R121" s="24" t="n"/>
      <c r="S121" s="27" t="n"/>
      <c r="T121" s="28">
        <f>IF(Q121="","",IF(Q121="SUCCESS",1,0))</f>
        <v/>
      </c>
      <c r="U121" s="29">
        <f>IF(OR(N121="",Q121&lt;&gt;"SUCCESS"),"",N121-SUM(I121:M121))</f>
        <v/>
      </c>
      <c r="V121" s="30">
        <f>IF(OR(N121="",N121=0,L121=""),"",L121/N121)</f>
        <v/>
      </c>
      <c r="W121" s="29">
        <f>IF(OR(N121="",G121="",G121=0),"",N121/(G121/60))</f>
        <v/>
      </c>
    </row>
    <row r="122">
      <c r="A122" s="22" t="n"/>
      <c r="B122" s="23" t="n"/>
      <c r="C122" s="24" t="n"/>
      <c r="D122" s="24" t="n"/>
      <c r="E122" s="24" t="n"/>
      <c r="F122" s="22" t="n"/>
      <c r="G122" s="25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2" t="n"/>
      <c r="Q122" s="24" t="n"/>
      <c r="R122" s="24" t="n"/>
      <c r="S122" s="27" t="n"/>
      <c r="T122" s="28">
        <f>IF(Q122="","",IF(Q122="SUCCESS",1,0))</f>
        <v/>
      </c>
      <c r="U122" s="29">
        <f>IF(OR(N122="",Q122&lt;&gt;"SUCCESS"),"",N122-SUM(I122:M122))</f>
        <v/>
      </c>
      <c r="V122" s="30">
        <f>IF(OR(N122="",N122=0,L122=""),"",L122/N122)</f>
        <v/>
      </c>
      <c r="W122" s="29">
        <f>IF(OR(N122="",G122="",G122=0),"",N122/(G122/60))</f>
        <v/>
      </c>
    </row>
    <row r="123">
      <c r="A123" s="22" t="n"/>
      <c r="B123" s="23" t="n"/>
      <c r="C123" s="24" t="n"/>
      <c r="D123" s="24" t="n"/>
      <c r="E123" s="24" t="n"/>
      <c r="F123" s="22" t="n"/>
      <c r="G123" s="25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2" t="n"/>
      <c r="Q123" s="24" t="n"/>
      <c r="R123" s="24" t="n"/>
      <c r="S123" s="27" t="n"/>
      <c r="T123" s="28">
        <f>IF(Q123="","",IF(Q123="SUCCESS",1,0))</f>
        <v/>
      </c>
      <c r="U123" s="29">
        <f>IF(OR(N123="",Q123&lt;&gt;"SUCCESS"),"",N123-SUM(I123:M123))</f>
        <v/>
      </c>
      <c r="V123" s="30">
        <f>IF(OR(N123="",N123=0,L123=""),"",L123/N123)</f>
        <v/>
      </c>
      <c r="W123" s="29">
        <f>IF(OR(N123="",G123="",G123=0),"",N123/(G123/60))</f>
        <v/>
      </c>
    </row>
    <row r="124">
      <c r="A124" s="22" t="n"/>
      <c r="B124" s="23" t="n"/>
      <c r="C124" s="24" t="n"/>
      <c r="D124" s="24" t="n"/>
      <c r="E124" s="24" t="n"/>
      <c r="F124" s="22" t="n"/>
      <c r="G124" s="25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2" t="n"/>
      <c r="Q124" s="24" t="n"/>
      <c r="R124" s="24" t="n"/>
      <c r="S124" s="27" t="n"/>
      <c r="T124" s="28">
        <f>IF(Q124="","",IF(Q124="SUCCESS",1,0))</f>
        <v/>
      </c>
      <c r="U124" s="29">
        <f>IF(OR(N124="",Q124&lt;&gt;"SUCCESS"),"",N124-SUM(I124:M124))</f>
        <v/>
      </c>
      <c r="V124" s="30">
        <f>IF(OR(N124="",N124=0,L124=""),"",L124/N124)</f>
        <v/>
      </c>
      <c r="W124" s="29">
        <f>IF(OR(N124="",G124="",G124=0),"",N124/(G124/60))</f>
        <v/>
      </c>
    </row>
    <row r="125">
      <c r="A125" s="22" t="n"/>
      <c r="B125" s="23" t="n"/>
      <c r="C125" s="24" t="n"/>
      <c r="D125" s="24" t="n"/>
      <c r="E125" s="24" t="n"/>
      <c r="F125" s="22" t="n"/>
      <c r="G125" s="25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2" t="n"/>
      <c r="Q125" s="24" t="n"/>
      <c r="R125" s="24" t="n"/>
      <c r="S125" s="27" t="n"/>
      <c r="T125" s="28">
        <f>IF(Q125="","",IF(Q125="SUCCESS",1,0))</f>
        <v/>
      </c>
      <c r="U125" s="29">
        <f>IF(OR(N125="",Q125&lt;&gt;"SUCCESS"),"",N125-SUM(I125:M125))</f>
        <v/>
      </c>
      <c r="V125" s="30">
        <f>IF(OR(N125="",N125=0,L125=""),"",L125/N125)</f>
        <v/>
      </c>
      <c r="W125" s="29">
        <f>IF(OR(N125="",G125="",G125=0),"",N125/(G125/60))</f>
        <v/>
      </c>
    </row>
    <row r="126">
      <c r="A126" s="22" t="n"/>
      <c r="B126" s="23" t="n"/>
      <c r="C126" s="24" t="n"/>
      <c r="D126" s="24" t="n"/>
      <c r="E126" s="24" t="n"/>
      <c r="F126" s="22" t="n"/>
      <c r="G126" s="25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2" t="n"/>
      <c r="Q126" s="24" t="n"/>
      <c r="R126" s="24" t="n"/>
      <c r="S126" s="27" t="n"/>
      <c r="T126" s="28">
        <f>IF(Q126="","",IF(Q126="SUCCESS",1,0))</f>
        <v/>
      </c>
      <c r="U126" s="29">
        <f>IF(OR(N126="",Q126&lt;&gt;"SUCCESS"),"",N126-SUM(I126:M126))</f>
        <v/>
      </c>
      <c r="V126" s="30">
        <f>IF(OR(N126="",N126=0,L126=""),"",L126/N126)</f>
        <v/>
      </c>
      <c r="W126" s="29">
        <f>IF(OR(N126="",G126="",G126=0),"",N126/(G126/60))</f>
        <v/>
      </c>
    </row>
    <row r="127">
      <c r="A127" s="22" t="n"/>
      <c r="B127" s="23" t="n"/>
      <c r="C127" s="24" t="n"/>
      <c r="D127" s="24" t="n"/>
      <c r="E127" s="24" t="n"/>
      <c r="F127" s="22" t="n"/>
      <c r="G127" s="25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2" t="n"/>
      <c r="Q127" s="24" t="n"/>
      <c r="R127" s="24" t="n"/>
      <c r="S127" s="27" t="n"/>
      <c r="T127" s="28">
        <f>IF(Q127="","",IF(Q127="SUCCESS",1,0))</f>
        <v/>
      </c>
      <c r="U127" s="29">
        <f>IF(OR(N127="",Q127&lt;&gt;"SUCCESS"),"",N127-SUM(I127:M127))</f>
        <v/>
      </c>
      <c r="V127" s="30">
        <f>IF(OR(N127="",N127=0,L127=""),"",L127/N127)</f>
        <v/>
      </c>
      <c r="W127" s="29">
        <f>IF(OR(N127="",G127="",G127=0),"",N127/(G127/60))</f>
        <v/>
      </c>
    </row>
    <row r="128">
      <c r="A128" s="22" t="n"/>
      <c r="B128" s="23" t="n"/>
      <c r="C128" s="24" t="n"/>
      <c r="D128" s="24" t="n"/>
      <c r="E128" s="24" t="n"/>
      <c r="F128" s="22" t="n"/>
      <c r="G128" s="25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2" t="n"/>
      <c r="Q128" s="24" t="n"/>
      <c r="R128" s="24" t="n"/>
      <c r="S128" s="27" t="n"/>
      <c r="T128" s="28">
        <f>IF(Q128="","",IF(Q128="SUCCESS",1,0))</f>
        <v/>
      </c>
      <c r="U128" s="29">
        <f>IF(OR(N128="",Q128&lt;&gt;"SUCCESS"),"",N128-SUM(I128:M128))</f>
        <v/>
      </c>
      <c r="V128" s="30">
        <f>IF(OR(N128="",N128=0,L128=""),"",L128/N128)</f>
        <v/>
      </c>
      <c r="W128" s="29">
        <f>IF(OR(N128="",G128="",G128=0),"",N128/(G128/60))</f>
        <v/>
      </c>
    </row>
    <row r="129">
      <c r="A129" s="22" t="n"/>
      <c r="B129" s="23" t="n"/>
      <c r="C129" s="24" t="n"/>
      <c r="D129" s="24" t="n"/>
      <c r="E129" s="24" t="n"/>
      <c r="F129" s="22" t="n"/>
      <c r="G129" s="25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2" t="n"/>
      <c r="Q129" s="24" t="n"/>
      <c r="R129" s="24" t="n"/>
      <c r="S129" s="27" t="n"/>
      <c r="T129" s="28">
        <f>IF(Q129="","",IF(Q129="SUCCESS",1,0))</f>
        <v/>
      </c>
      <c r="U129" s="29">
        <f>IF(OR(N129="",Q129&lt;&gt;"SUCCESS"),"",N129-SUM(I129:M129))</f>
        <v/>
      </c>
      <c r="V129" s="30">
        <f>IF(OR(N129="",N129=0,L129=""),"",L129/N129)</f>
        <v/>
      </c>
      <c r="W129" s="29">
        <f>IF(OR(N129="",G129="",G129=0),"",N129/(G129/60))</f>
        <v/>
      </c>
    </row>
    <row r="130">
      <c r="A130" s="22" t="n"/>
      <c r="B130" s="23" t="n"/>
      <c r="C130" s="24" t="n"/>
      <c r="D130" s="24" t="n"/>
      <c r="E130" s="24" t="n"/>
      <c r="F130" s="22" t="n"/>
      <c r="G130" s="25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2" t="n"/>
      <c r="Q130" s="24" t="n"/>
      <c r="R130" s="24" t="n"/>
      <c r="S130" s="27" t="n"/>
      <c r="T130" s="28">
        <f>IF(Q130="","",IF(Q130="SUCCESS",1,0))</f>
        <v/>
      </c>
      <c r="U130" s="29">
        <f>IF(OR(N130="",Q130&lt;&gt;"SUCCESS"),"",N130-SUM(I130:M130))</f>
        <v/>
      </c>
      <c r="V130" s="30">
        <f>IF(OR(N130="",N130=0,L130=""),"",L130/N130)</f>
        <v/>
      </c>
      <c r="W130" s="29">
        <f>IF(OR(N130="",G130="",G130=0),"",N130/(G130/60))</f>
        <v/>
      </c>
    </row>
    <row r="131">
      <c r="A131" s="22" t="n"/>
      <c r="B131" s="23" t="n"/>
      <c r="C131" s="24" t="n"/>
      <c r="D131" s="24" t="n"/>
      <c r="E131" s="24" t="n"/>
      <c r="F131" s="22" t="n"/>
      <c r="G131" s="25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2" t="n"/>
      <c r="Q131" s="24" t="n"/>
      <c r="R131" s="24" t="n"/>
      <c r="S131" s="27" t="n"/>
      <c r="T131" s="28">
        <f>IF(Q131="","",IF(Q131="SUCCESS",1,0))</f>
        <v/>
      </c>
      <c r="U131" s="29">
        <f>IF(OR(N131="",Q131&lt;&gt;"SUCCESS"),"",N131-SUM(I131:M131))</f>
        <v/>
      </c>
      <c r="V131" s="30">
        <f>IF(OR(N131="",N131=0,L131=""),"",L131/N131)</f>
        <v/>
      </c>
      <c r="W131" s="29">
        <f>IF(OR(N131="",G131="",G131=0),"",N131/(G131/60))</f>
        <v/>
      </c>
    </row>
    <row r="132">
      <c r="A132" s="22" t="n"/>
      <c r="B132" s="23" t="n"/>
      <c r="C132" s="24" t="n"/>
      <c r="D132" s="24" t="n"/>
      <c r="E132" s="24" t="n"/>
      <c r="F132" s="22" t="n"/>
      <c r="G132" s="25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2" t="n"/>
      <c r="Q132" s="24" t="n"/>
      <c r="R132" s="24" t="n"/>
      <c r="S132" s="27" t="n"/>
      <c r="T132" s="28">
        <f>IF(Q132="","",IF(Q132="SUCCESS",1,0))</f>
        <v/>
      </c>
      <c r="U132" s="29">
        <f>IF(OR(N132="",Q132&lt;&gt;"SUCCESS"),"",N132-SUM(I132:M132))</f>
        <v/>
      </c>
      <c r="V132" s="30">
        <f>IF(OR(N132="",N132=0,L132=""),"",L132/N132)</f>
        <v/>
      </c>
      <c r="W132" s="29">
        <f>IF(OR(N132="",G132="",G132=0),"",N132/(G132/60))</f>
        <v/>
      </c>
    </row>
    <row r="133">
      <c r="A133" s="22" t="n"/>
      <c r="B133" s="23" t="n"/>
      <c r="C133" s="24" t="n"/>
      <c r="D133" s="24" t="n"/>
      <c r="E133" s="24" t="n"/>
      <c r="F133" s="22" t="n"/>
      <c r="G133" s="25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2" t="n"/>
      <c r="Q133" s="24" t="n"/>
      <c r="R133" s="24" t="n"/>
      <c r="S133" s="27" t="n"/>
      <c r="T133" s="28">
        <f>IF(Q133="","",IF(Q133="SUCCESS",1,0))</f>
        <v/>
      </c>
      <c r="U133" s="29">
        <f>IF(OR(N133="",Q133&lt;&gt;"SUCCESS"),"",N133-SUM(I133:M133))</f>
        <v/>
      </c>
      <c r="V133" s="30">
        <f>IF(OR(N133="",N133=0,L133=""),"",L133/N133)</f>
        <v/>
      </c>
      <c r="W133" s="29">
        <f>IF(OR(N133="",G133="",G133=0),"",N133/(G133/60))</f>
        <v/>
      </c>
    </row>
    <row r="134">
      <c r="A134" s="22" t="n"/>
      <c r="B134" s="23" t="n"/>
      <c r="C134" s="24" t="n"/>
      <c r="D134" s="24" t="n"/>
      <c r="E134" s="24" t="n"/>
      <c r="F134" s="22" t="n"/>
      <c r="G134" s="25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2" t="n"/>
      <c r="Q134" s="24" t="n"/>
      <c r="R134" s="24" t="n"/>
      <c r="S134" s="27" t="n"/>
      <c r="T134" s="28">
        <f>IF(Q134="","",IF(Q134="SUCCESS",1,0))</f>
        <v/>
      </c>
      <c r="U134" s="29">
        <f>IF(OR(N134="",Q134&lt;&gt;"SUCCESS"),"",N134-SUM(I134:M134))</f>
        <v/>
      </c>
      <c r="V134" s="30">
        <f>IF(OR(N134="",N134=0,L134=""),"",L134/N134)</f>
        <v/>
      </c>
      <c r="W134" s="29">
        <f>IF(OR(N134="",G134="",G134=0),"",N134/(G134/60))</f>
        <v/>
      </c>
    </row>
    <row r="135">
      <c r="A135" s="22" t="n"/>
      <c r="B135" s="23" t="n"/>
      <c r="C135" s="24" t="n"/>
      <c r="D135" s="24" t="n"/>
      <c r="E135" s="24" t="n"/>
      <c r="F135" s="22" t="n"/>
      <c r="G135" s="25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2" t="n"/>
      <c r="Q135" s="24" t="n"/>
      <c r="R135" s="24" t="n"/>
      <c r="S135" s="27" t="n"/>
      <c r="T135" s="28">
        <f>IF(Q135="","",IF(Q135="SUCCESS",1,0))</f>
        <v/>
      </c>
      <c r="U135" s="29">
        <f>IF(OR(N135="",Q135&lt;&gt;"SUCCESS"),"",N135-SUM(I135:M135))</f>
        <v/>
      </c>
      <c r="V135" s="30">
        <f>IF(OR(N135="",N135=0,L135=""),"",L135/N135)</f>
        <v/>
      </c>
      <c r="W135" s="29">
        <f>IF(OR(N135="",G135="",G135=0),"",N135/(G135/60))</f>
        <v/>
      </c>
    </row>
    <row r="136">
      <c r="A136" s="22" t="n"/>
      <c r="B136" s="23" t="n"/>
      <c r="C136" s="24" t="n"/>
      <c r="D136" s="24" t="n"/>
      <c r="E136" s="24" t="n"/>
      <c r="F136" s="22" t="n"/>
      <c r="G136" s="25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2" t="n"/>
      <c r="Q136" s="24" t="n"/>
      <c r="R136" s="24" t="n"/>
      <c r="S136" s="27" t="n"/>
      <c r="T136" s="28">
        <f>IF(Q136="","",IF(Q136="SUCCESS",1,0))</f>
        <v/>
      </c>
      <c r="U136" s="29">
        <f>IF(OR(N136="",Q136&lt;&gt;"SUCCESS"),"",N136-SUM(I136:M136))</f>
        <v/>
      </c>
      <c r="V136" s="30">
        <f>IF(OR(N136="",N136=0,L136=""),"",L136/N136)</f>
        <v/>
      </c>
      <c r="W136" s="29">
        <f>IF(OR(N136="",G136="",G136=0),"",N136/(G136/60))</f>
        <v/>
      </c>
    </row>
    <row r="137">
      <c r="A137" s="22" t="n"/>
      <c r="B137" s="23" t="n"/>
      <c r="C137" s="24" t="n"/>
      <c r="D137" s="24" t="n"/>
      <c r="E137" s="24" t="n"/>
      <c r="F137" s="22" t="n"/>
      <c r="G137" s="25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2" t="n"/>
      <c r="Q137" s="24" t="n"/>
      <c r="R137" s="24" t="n"/>
      <c r="S137" s="27" t="n"/>
      <c r="T137" s="28">
        <f>IF(Q137="","",IF(Q137="SUCCESS",1,0))</f>
        <v/>
      </c>
      <c r="U137" s="29">
        <f>IF(OR(N137="",Q137&lt;&gt;"SUCCESS"),"",N137-SUM(I137:M137))</f>
        <v/>
      </c>
      <c r="V137" s="30">
        <f>IF(OR(N137="",N137=0,L137=""),"",L137/N137)</f>
        <v/>
      </c>
      <c r="W137" s="29">
        <f>IF(OR(N137="",G137="",G137=0),"",N137/(G137/60))</f>
        <v/>
      </c>
    </row>
    <row r="138">
      <c r="A138" s="22" t="n"/>
      <c r="B138" s="23" t="n"/>
      <c r="C138" s="24" t="n"/>
      <c r="D138" s="24" t="n"/>
      <c r="E138" s="24" t="n"/>
      <c r="F138" s="22" t="n"/>
      <c r="G138" s="25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2" t="n"/>
      <c r="Q138" s="24" t="n"/>
      <c r="R138" s="24" t="n"/>
      <c r="S138" s="27" t="n"/>
      <c r="T138" s="28">
        <f>IF(Q138="","",IF(Q138="SUCCESS",1,0))</f>
        <v/>
      </c>
      <c r="U138" s="29">
        <f>IF(OR(N138="",Q138&lt;&gt;"SUCCESS"),"",N138-SUM(I138:M138))</f>
        <v/>
      </c>
      <c r="V138" s="30">
        <f>IF(OR(N138="",N138=0,L138=""),"",L138/N138)</f>
        <v/>
      </c>
      <c r="W138" s="29">
        <f>IF(OR(N138="",G138="",G138=0),"",N138/(G138/60))</f>
        <v/>
      </c>
    </row>
    <row r="139">
      <c r="A139" s="22" t="n"/>
      <c r="B139" s="23" t="n"/>
      <c r="C139" s="24" t="n"/>
      <c r="D139" s="24" t="n"/>
      <c r="E139" s="24" t="n"/>
      <c r="F139" s="22" t="n"/>
      <c r="G139" s="25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2" t="n"/>
      <c r="Q139" s="24" t="n"/>
      <c r="R139" s="24" t="n"/>
      <c r="S139" s="27" t="n"/>
      <c r="T139" s="28">
        <f>IF(Q139="","",IF(Q139="SUCCESS",1,0))</f>
        <v/>
      </c>
      <c r="U139" s="29">
        <f>IF(OR(N139="",Q139&lt;&gt;"SUCCESS"),"",N139-SUM(I139:M139))</f>
        <v/>
      </c>
      <c r="V139" s="30">
        <f>IF(OR(N139="",N139=0,L139=""),"",L139/N139)</f>
        <v/>
      </c>
      <c r="W139" s="29">
        <f>IF(OR(N139="",G139="",G139=0),"",N139/(G139/60))</f>
        <v/>
      </c>
    </row>
    <row r="140">
      <c r="A140" s="22" t="n"/>
      <c r="B140" s="23" t="n"/>
      <c r="C140" s="24" t="n"/>
      <c r="D140" s="24" t="n"/>
      <c r="E140" s="24" t="n"/>
      <c r="F140" s="22" t="n"/>
      <c r="G140" s="25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2" t="n"/>
      <c r="Q140" s="24" t="n"/>
      <c r="R140" s="24" t="n"/>
      <c r="S140" s="27" t="n"/>
      <c r="T140" s="28">
        <f>IF(Q140="","",IF(Q140="SUCCESS",1,0))</f>
        <v/>
      </c>
      <c r="U140" s="29">
        <f>IF(OR(N140="",Q140&lt;&gt;"SUCCESS"),"",N140-SUM(I140:M140))</f>
        <v/>
      </c>
      <c r="V140" s="30">
        <f>IF(OR(N140="",N140=0,L140=""),"",L140/N140)</f>
        <v/>
      </c>
      <c r="W140" s="29">
        <f>IF(OR(N140="",G140="",G140=0),"",N140/(G140/60))</f>
        <v/>
      </c>
    </row>
    <row r="141">
      <c r="A141" s="22" t="n"/>
      <c r="B141" s="23" t="n"/>
      <c r="C141" s="24" t="n"/>
      <c r="D141" s="24" t="n"/>
      <c r="E141" s="24" t="n"/>
      <c r="F141" s="22" t="n"/>
      <c r="G141" s="25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2" t="n"/>
      <c r="Q141" s="24" t="n"/>
      <c r="R141" s="24" t="n"/>
      <c r="S141" s="27" t="n"/>
      <c r="T141" s="28">
        <f>IF(Q141="","",IF(Q141="SUCCESS",1,0))</f>
        <v/>
      </c>
      <c r="U141" s="29">
        <f>IF(OR(N141="",Q141&lt;&gt;"SUCCESS"),"",N141-SUM(I141:M141))</f>
        <v/>
      </c>
      <c r="V141" s="30">
        <f>IF(OR(N141="",N141=0,L141=""),"",L141/N141)</f>
        <v/>
      </c>
      <c r="W141" s="29">
        <f>IF(OR(N141="",G141="",G141=0),"",N141/(G141/60))</f>
        <v/>
      </c>
    </row>
    <row r="142">
      <c r="A142" s="22" t="n"/>
      <c r="B142" s="23" t="n"/>
      <c r="C142" s="24" t="n"/>
      <c r="D142" s="24" t="n"/>
      <c r="E142" s="24" t="n"/>
      <c r="F142" s="22" t="n"/>
      <c r="G142" s="25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2" t="n"/>
      <c r="Q142" s="24" t="n"/>
      <c r="R142" s="24" t="n"/>
      <c r="S142" s="27" t="n"/>
      <c r="T142" s="28">
        <f>IF(Q142="","",IF(Q142="SUCCESS",1,0))</f>
        <v/>
      </c>
      <c r="U142" s="29">
        <f>IF(OR(N142="",Q142&lt;&gt;"SUCCESS"),"",N142-SUM(I142:M142))</f>
        <v/>
      </c>
      <c r="V142" s="30">
        <f>IF(OR(N142="",N142=0,L142=""),"",L142/N142)</f>
        <v/>
      </c>
      <c r="W142" s="29">
        <f>IF(OR(N142="",G142="",G142=0),"",N142/(G142/60))</f>
        <v/>
      </c>
    </row>
    <row r="143">
      <c r="A143" s="22" t="n"/>
      <c r="B143" s="23" t="n"/>
      <c r="C143" s="24" t="n"/>
      <c r="D143" s="24" t="n"/>
      <c r="E143" s="24" t="n"/>
      <c r="F143" s="22" t="n"/>
      <c r="G143" s="25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2" t="n"/>
      <c r="Q143" s="24" t="n"/>
      <c r="R143" s="24" t="n"/>
      <c r="S143" s="27" t="n"/>
      <c r="T143" s="28">
        <f>IF(Q143="","",IF(Q143="SUCCESS",1,0))</f>
        <v/>
      </c>
      <c r="U143" s="29">
        <f>IF(OR(N143="",Q143&lt;&gt;"SUCCESS"),"",N143-SUM(I143:M143))</f>
        <v/>
      </c>
      <c r="V143" s="30">
        <f>IF(OR(N143="",N143=0,L143=""),"",L143/N143)</f>
        <v/>
      </c>
      <c r="W143" s="29">
        <f>IF(OR(N143="",G143="",G143=0),"",N143/(G143/60))</f>
        <v/>
      </c>
    </row>
    <row r="144">
      <c r="A144" s="22" t="n"/>
      <c r="B144" s="23" t="n"/>
      <c r="C144" s="24" t="n"/>
      <c r="D144" s="24" t="n"/>
      <c r="E144" s="24" t="n"/>
      <c r="F144" s="22" t="n"/>
      <c r="G144" s="25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2" t="n"/>
      <c r="Q144" s="24" t="n"/>
      <c r="R144" s="24" t="n"/>
      <c r="S144" s="27" t="n"/>
      <c r="T144" s="28">
        <f>IF(Q144="","",IF(Q144="SUCCESS",1,0))</f>
        <v/>
      </c>
      <c r="U144" s="29">
        <f>IF(OR(N144="",Q144&lt;&gt;"SUCCESS"),"",N144-SUM(I144:M144))</f>
        <v/>
      </c>
      <c r="V144" s="30">
        <f>IF(OR(N144="",N144=0,L144=""),"",L144/N144)</f>
        <v/>
      </c>
      <c r="W144" s="29">
        <f>IF(OR(N144="",G144="",G144=0),"",N144/(G144/60))</f>
        <v/>
      </c>
    </row>
    <row r="145">
      <c r="A145" s="22" t="n"/>
      <c r="B145" s="23" t="n"/>
      <c r="C145" s="24" t="n"/>
      <c r="D145" s="24" t="n"/>
      <c r="E145" s="24" t="n"/>
      <c r="F145" s="22" t="n"/>
      <c r="G145" s="25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2" t="n"/>
      <c r="Q145" s="24" t="n"/>
      <c r="R145" s="24" t="n"/>
      <c r="S145" s="27" t="n"/>
      <c r="T145" s="28">
        <f>IF(Q145="","",IF(Q145="SUCCESS",1,0))</f>
        <v/>
      </c>
      <c r="U145" s="29">
        <f>IF(OR(N145="",Q145&lt;&gt;"SUCCESS"),"",N145-SUM(I145:M145))</f>
        <v/>
      </c>
      <c r="V145" s="30">
        <f>IF(OR(N145="",N145=0,L145=""),"",L145/N145)</f>
        <v/>
      </c>
      <c r="W145" s="29">
        <f>IF(OR(N145="",G145="",G145=0),"",N145/(G145/60))</f>
        <v/>
      </c>
    </row>
    <row r="146">
      <c r="A146" s="22" t="n"/>
      <c r="B146" s="23" t="n"/>
      <c r="C146" s="24" t="n"/>
      <c r="D146" s="24" t="n"/>
      <c r="E146" s="24" t="n"/>
      <c r="F146" s="22" t="n"/>
      <c r="G146" s="25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2" t="n"/>
      <c r="Q146" s="24" t="n"/>
      <c r="R146" s="24" t="n"/>
      <c r="S146" s="27" t="n"/>
      <c r="T146" s="28">
        <f>IF(Q146="","",IF(Q146="SUCCESS",1,0))</f>
        <v/>
      </c>
      <c r="U146" s="29">
        <f>IF(OR(N146="",Q146&lt;&gt;"SUCCESS"),"",N146-SUM(I146:M146))</f>
        <v/>
      </c>
      <c r="V146" s="30">
        <f>IF(OR(N146="",N146=0,L146=""),"",L146/N146)</f>
        <v/>
      </c>
      <c r="W146" s="29">
        <f>IF(OR(N146="",G146="",G146=0),"",N146/(G146/60))</f>
        <v/>
      </c>
    </row>
    <row r="147">
      <c r="A147" s="22" t="n"/>
      <c r="B147" s="23" t="n"/>
      <c r="C147" s="24" t="n"/>
      <c r="D147" s="24" t="n"/>
      <c r="E147" s="24" t="n"/>
      <c r="F147" s="22" t="n"/>
      <c r="G147" s="25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2" t="n"/>
      <c r="Q147" s="24" t="n"/>
      <c r="R147" s="24" t="n"/>
      <c r="S147" s="27" t="n"/>
      <c r="T147" s="28">
        <f>IF(Q147="","",IF(Q147="SUCCESS",1,0))</f>
        <v/>
      </c>
      <c r="U147" s="29">
        <f>IF(OR(N147="",Q147&lt;&gt;"SUCCESS"),"",N147-SUM(I147:M147))</f>
        <v/>
      </c>
      <c r="V147" s="30">
        <f>IF(OR(N147="",N147=0,L147=""),"",L147/N147)</f>
        <v/>
      </c>
      <c r="W147" s="29">
        <f>IF(OR(N147="",G147="",G147=0),"",N147/(G147/60))</f>
        <v/>
      </c>
    </row>
    <row r="148">
      <c r="A148" s="22" t="n"/>
      <c r="B148" s="23" t="n"/>
      <c r="C148" s="24" t="n"/>
      <c r="D148" s="24" t="n"/>
      <c r="E148" s="24" t="n"/>
      <c r="F148" s="22" t="n"/>
      <c r="G148" s="25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2" t="n"/>
      <c r="Q148" s="24" t="n"/>
      <c r="R148" s="24" t="n"/>
      <c r="S148" s="27" t="n"/>
      <c r="T148" s="28">
        <f>IF(Q148="","",IF(Q148="SUCCESS",1,0))</f>
        <v/>
      </c>
      <c r="U148" s="29">
        <f>IF(OR(N148="",Q148&lt;&gt;"SUCCESS"),"",N148-SUM(I148:M148))</f>
        <v/>
      </c>
      <c r="V148" s="30">
        <f>IF(OR(N148="",N148=0,L148=""),"",L148/N148)</f>
        <v/>
      </c>
      <c r="W148" s="29">
        <f>IF(OR(N148="",G148="",G148=0),"",N148/(G148/60))</f>
        <v/>
      </c>
    </row>
    <row r="149">
      <c r="A149" s="22" t="n"/>
      <c r="B149" s="23" t="n"/>
      <c r="C149" s="24" t="n"/>
      <c r="D149" s="24" t="n"/>
      <c r="E149" s="24" t="n"/>
      <c r="F149" s="22" t="n"/>
      <c r="G149" s="25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2" t="n"/>
      <c r="Q149" s="24" t="n"/>
      <c r="R149" s="24" t="n"/>
      <c r="S149" s="27" t="n"/>
      <c r="T149" s="28">
        <f>IF(Q149="","",IF(Q149="SUCCESS",1,0))</f>
        <v/>
      </c>
      <c r="U149" s="29">
        <f>IF(OR(N149="",Q149&lt;&gt;"SUCCESS"),"",N149-SUM(I149:M149))</f>
        <v/>
      </c>
      <c r="V149" s="30">
        <f>IF(OR(N149="",N149=0,L149=""),"",L149/N149)</f>
        <v/>
      </c>
      <c r="W149" s="29">
        <f>IF(OR(N149="",G149="",G149=0),"",N149/(G149/60))</f>
        <v/>
      </c>
    </row>
    <row r="150">
      <c r="A150" s="22" t="n"/>
      <c r="B150" s="23" t="n"/>
      <c r="C150" s="24" t="n"/>
      <c r="D150" s="24" t="n"/>
      <c r="E150" s="24" t="n"/>
      <c r="F150" s="22" t="n"/>
      <c r="G150" s="25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2" t="n"/>
      <c r="Q150" s="24" t="n"/>
      <c r="R150" s="24" t="n"/>
      <c r="S150" s="27" t="n"/>
      <c r="T150" s="28">
        <f>IF(Q150="","",IF(Q150="SUCCESS",1,0))</f>
        <v/>
      </c>
      <c r="U150" s="29">
        <f>IF(OR(N150="",Q150&lt;&gt;"SUCCESS"),"",N150-SUM(I150:M150))</f>
        <v/>
      </c>
      <c r="V150" s="30">
        <f>IF(OR(N150="",N150=0,L150=""),"",L150/N150)</f>
        <v/>
      </c>
      <c r="W150" s="29">
        <f>IF(OR(N150="",G150="",G150=0),"",N150/(G150/60))</f>
        <v/>
      </c>
    </row>
    <row r="151">
      <c r="A151" s="22" t="n"/>
      <c r="B151" s="23" t="n"/>
      <c r="C151" s="24" t="n"/>
      <c r="D151" s="24" t="n"/>
      <c r="E151" s="24" t="n"/>
      <c r="F151" s="22" t="n"/>
      <c r="G151" s="25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2" t="n"/>
      <c r="Q151" s="24" t="n"/>
      <c r="R151" s="24" t="n"/>
      <c r="S151" s="27" t="n"/>
      <c r="T151" s="28">
        <f>IF(Q151="","",IF(Q151="SUCCESS",1,0))</f>
        <v/>
      </c>
      <c r="U151" s="29">
        <f>IF(OR(N151="",Q151&lt;&gt;"SUCCESS"),"",N151-SUM(I151:M151))</f>
        <v/>
      </c>
      <c r="V151" s="30">
        <f>IF(OR(N151="",N151=0,L151=""),"",L151/N151)</f>
        <v/>
      </c>
      <c r="W151" s="29">
        <f>IF(OR(N151="",G151="",G151=0),"",N151/(G151/60))</f>
        <v/>
      </c>
    </row>
    <row r="152">
      <c r="A152" s="22" t="n"/>
      <c r="B152" s="23" t="n"/>
      <c r="C152" s="24" t="n"/>
      <c r="D152" s="24" t="n"/>
      <c r="E152" s="24" t="n"/>
      <c r="F152" s="22" t="n"/>
      <c r="G152" s="25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2" t="n"/>
      <c r="Q152" s="24" t="n"/>
      <c r="R152" s="24" t="n"/>
      <c r="S152" s="27" t="n"/>
      <c r="T152" s="28">
        <f>IF(Q152="","",IF(Q152="SUCCESS",1,0))</f>
        <v/>
      </c>
      <c r="U152" s="29">
        <f>IF(OR(N152="",Q152&lt;&gt;"SUCCESS"),"",N152-SUM(I152:M152))</f>
        <v/>
      </c>
      <c r="V152" s="30">
        <f>IF(OR(N152="",N152=0,L152=""),"",L152/N152)</f>
        <v/>
      </c>
      <c r="W152" s="29">
        <f>IF(OR(N152="",G152="",G152=0),"",N152/(G152/60))</f>
        <v/>
      </c>
    </row>
    <row r="153">
      <c r="A153" s="22" t="n"/>
      <c r="B153" s="23" t="n"/>
      <c r="C153" s="24" t="n"/>
      <c r="D153" s="24" t="n"/>
      <c r="E153" s="24" t="n"/>
      <c r="F153" s="22" t="n"/>
      <c r="G153" s="25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2" t="n"/>
      <c r="Q153" s="24" t="n"/>
      <c r="R153" s="24" t="n"/>
      <c r="S153" s="27" t="n"/>
      <c r="T153" s="28">
        <f>IF(Q153="","",IF(Q153="SUCCESS",1,0))</f>
        <v/>
      </c>
      <c r="U153" s="29">
        <f>IF(OR(N153="",Q153&lt;&gt;"SUCCESS"),"",N153-SUM(I153:M153))</f>
        <v/>
      </c>
      <c r="V153" s="30">
        <f>IF(OR(N153="",N153=0,L153=""),"",L153/N153)</f>
        <v/>
      </c>
      <c r="W153" s="29">
        <f>IF(OR(N153="",G153="",G153=0),"",N153/(G153/60))</f>
        <v/>
      </c>
    </row>
    <row r="154">
      <c r="A154" s="22" t="n"/>
      <c r="B154" s="23" t="n"/>
      <c r="C154" s="24" t="n"/>
      <c r="D154" s="24" t="n"/>
      <c r="E154" s="24" t="n"/>
      <c r="F154" s="22" t="n"/>
      <c r="G154" s="25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2" t="n"/>
      <c r="Q154" s="24" t="n"/>
      <c r="R154" s="24" t="n"/>
      <c r="S154" s="27" t="n"/>
      <c r="T154" s="28">
        <f>IF(Q154="","",IF(Q154="SUCCESS",1,0))</f>
        <v/>
      </c>
      <c r="U154" s="29">
        <f>IF(OR(N154="",Q154&lt;&gt;"SUCCESS"),"",N154-SUM(I154:M154))</f>
        <v/>
      </c>
      <c r="V154" s="30">
        <f>IF(OR(N154="",N154=0,L154=""),"",L154/N154)</f>
        <v/>
      </c>
      <c r="W154" s="29">
        <f>IF(OR(N154="",G154="",G154=0),"",N154/(G154/60))</f>
        <v/>
      </c>
    </row>
    <row r="155">
      <c r="A155" s="22" t="n"/>
      <c r="B155" s="23" t="n"/>
      <c r="C155" s="24" t="n"/>
      <c r="D155" s="24" t="n"/>
      <c r="E155" s="24" t="n"/>
      <c r="F155" s="22" t="n"/>
      <c r="G155" s="25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2" t="n"/>
      <c r="Q155" s="24" t="n"/>
      <c r="R155" s="24" t="n"/>
      <c r="S155" s="27" t="n"/>
      <c r="T155" s="28">
        <f>IF(Q155="","",IF(Q155="SUCCESS",1,0))</f>
        <v/>
      </c>
      <c r="U155" s="29">
        <f>IF(OR(N155="",Q155&lt;&gt;"SUCCESS"),"",N155-SUM(I155:M155))</f>
        <v/>
      </c>
      <c r="V155" s="30">
        <f>IF(OR(N155="",N155=0,L155=""),"",L155/N155)</f>
        <v/>
      </c>
      <c r="W155" s="29">
        <f>IF(OR(N155="",G155="",G155=0),"",N155/(G155/60))</f>
        <v/>
      </c>
    </row>
    <row r="156">
      <c r="A156" s="22" t="n"/>
      <c r="B156" s="23" t="n"/>
      <c r="C156" s="24" t="n"/>
      <c r="D156" s="24" t="n"/>
      <c r="E156" s="24" t="n"/>
      <c r="F156" s="22" t="n"/>
      <c r="G156" s="25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2" t="n"/>
      <c r="Q156" s="24" t="n"/>
      <c r="R156" s="24" t="n"/>
      <c r="S156" s="27" t="n"/>
      <c r="T156" s="28">
        <f>IF(Q156="","",IF(Q156="SUCCESS",1,0))</f>
        <v/>
      </c>
      <c r="U156" s="29">
        <f>IF(OR(N156="",Q156&lt;&gt;"SUCCESS"),"",N156-SUM(I156:M156))</f>
        <v/>
      </c>
      <c r="V156" s="30">
        <f>IF(OR(N156="",N156=0,L156=""),"",L156/N156)</f>
        <v/>
      </c>
      <c r="W156" s="29">
        <f>IF(OR(N156="",G156="",G156=0),"",N156/(G156/60))</f>
        <v/>
      </c>
    </row>
    <row r="157">
      <c r="A157" s="22" t="n"/>
      <c r="B157" s="23" t="n"/>
      <c r="C157" s="24" t="n"/>
      <c r="D157" s="24" t="n"/>
      <c r="E157" s="24" t="n"/>
      <c r="F157" s="22" t="n"/>
      <c r="G157" s="25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2" t="n"/>
      <c r="Q157" s="24" t="n"/>
      <c r="R157" s="24" t="n"/>
      <c r="S157" s="27" t="n"/>
      <c r="T157" s="28">
        <f>IF(Q157="","",IF(Q157="SUCCESS",1,0))</f>
        <v/>
      </c>
      <c r="U157" s="29">
        <f>IF(OR(N157="",Q157&lt;&gt;"SUCCESS"),"",N157-SUM(I157:M157))</f>
        <v/>
      </c>
      <c r="V157" s="30">
        <f>IF(OR(N157="",N157=0,L157=""),"",L157/N157)</f>
        <v/>
      </c>
      <c r="W157" s="29">
        <f>IF(OR(N157="",G157="",G157=0),"",N157/(G157/60))</f>
        <v/>
      </c>
    </row>
    <row r="158">
      <c r="A158" s="22" t="n"/>
      <c r="B158" s="23" t="n"/>
      <c r="C158" s="24" t="n"/>
      <c r="D158" s="24" t="n"/>
      <c r="E158" s="24" t="n"/>
      <c r="F158" s="22" t="n"/>
      <c r="G158" s="25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2" t="n"/>
      <c r="Q158" s="24" t="n"/>
      <c r="R158" s="24" t="n"/>
      <c r="S158" s="27" t="n"/>
      <c r="T158" s="28">
        <f>IF(Q158="","",IF(Q158="SUCCESS",1,0))</f>
        <v/>
      </c>
      <c r="U158" s="29">
        <f>IF(OR(N158="",Q158&lt;&gt;"SUCCESS"),"",N158-SUM(I158:M158))</f>
        <v/>
      </c>
      <c r="V158" s="30">
        <f>IF(OR(N158="",N158=0,L158=""),"",L158/N158)</f>
        <v/>
      </c>
      <c r="W158" s="29">
        <f>IF(OR(N158="",G158="",G158=0),"",N158/(G158/60))</f>
        <v/>
      </c>
    </row>
    <row r="159">
      <c r="A159" s="22" t="n"/>
      <c r="B159" s="23" t="n"/>
      <c r="C159" s="24" t="n"/>
      <c r="D159" s="24" t="n"/>
      <c r="E159" s="24" t="n"/>
      <c r="F159" s="22" t="n"/>
      <c r="G159" s="25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2" t="n"/>
      <c r="Q159" s="24" t="n"/>
      <c r="R159" s="24" t="n"/>
      <c r="S159" s="27" t="n"/>
      <c r="T159" s="28">
        <f>IF(Q159="","",IF(Q159="SUCCESS",1,0))</f>
        <v/>
      </c>
      <c r="U159" s="29">
        <f>IF(OR(N159="",Q159&lt;&gt;"SUCCESS"),"",N159-SUM(I159:M159))</f>
        <v/>
      </c>
      <c r="V159" s="30">
        <f>IF(OR(N159="",N159=0,L159=""),"",L159/N159)</f>
        <v/>
      </c>
      <c r="W159" s="29">
        <f>IF(OR(N159="",G159="",G159=0),"",N159/(G159/60))</f>
        <v/>
      </c>
    </row>
    <row r="160">
      <c r="A160" s="22" t="n"/>
      <c r="B160" s="23" t="n"/>
      <c r="C160" s="24" t="n"/>
      <c r="D160" s="24" t="n"/>
      <c r="E160" s="24" t="n"/>
      <c r="F160" s="22" t="n"/>
      <c r="G160" s="25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2" t="n"/>
      <c r="Q160" s="24" t="n"/>
      <c r="R160" s="24" t="n"/>
      <c r="S160" s="27" t="n"/>
      <c r="T160" s="28">
        <f>IF(Q160="","",IF(Q160="SUCCESS",1,0))</f>
        <v/>
      </c>
      <c r="U160" s="29">
        <f>IF(OR(N160="",Q160&lt;&gt;"SUCCESS"),"",N160-SUM(I160:M160))</f>
        <v/>
      </c>
      <c r="V160" s="30">
        <f>IF(OR(N160="",N160=0,L160=""),"",L160/N160)</f>
        <v/>
      </c>
      <c r="W160" s="29">
        <f>IF(OR(N160="",G160="",G160=0),"",N160/(G160/60))</f>
        <v/>
      </c>
    </row>
    <row r="161">
      <c r="A161" s="22" t="n"/>
      <c r="B161" s="23" t="n"/>
      <c r="C161" s="24" t="n"/>
      <c r="D161" s="24" t="n"/>
      <c r="E161" s="24" t="n"/>
      <c r="F161" s="22" t="n"/>
      <c r="G161" s="25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2" t="n"/>
      <c r="Q161" s="24" t="n"/>
      <c r="R161" s="24" t="n"/>
      <c r="S161" s="27" t="n"/>
      <c r="T161" s="28">
        <f>IF(Q161="","",IF(Q161="SUCCESS",1,0))</f>
        <v/>
      </c>
      <c r="U161" s="29">
        <f>IF(OR(N161="",Q161&lt;&gt;"SUCCESS"),"",N161-SUM(I161:M161))</f>
        <v/>
      </c>
      <c r="V161" s="30">
        <f>IF(OR(N161="",N161=0,L161=""),"",L161/N161)</f>
        <v/>
      </c>
      <c r="W161" s="29">
        <f>IF(OR(N161="",G161="",G161=0),"",N161/(G161/60))</f>
        <v/>
      </c>
    </row>
    <row r="162">
      <c r="A162" s="22" t="n"/>
      <c r="B162" s="23" t="n"/>
      <c r="C162" s="24" t="n"/>
      <c r="D162" s="24" t="n"/>
      <c r="E162" s="24" t="n"/>
      <c r="F162" s="22" t="n"/>
      <c r="G162" s="25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2" t="n"/>
      <c r="Q162" s="24" t="n"/>
      <c r="R162" s="24" t="n"/>
      <c r="S162" s="27" t="n"/>
      <c r="T162" s="28">
        <f>IF(Q162="","",IF(Q162="SUCCESS",1,0))</f>
        <v/>
      </c>
      <c r="U162" s="29">
        <f>IF(OR(N162="",Q162&lt;&gt;"SUCCESS"),"",N162-SUM(I162:M162))</f>
        <v/>
      </c>
      <c r="V162" s="30">
        <f>IF(OR(N162="",N162=0,L162=""),"",L162/N162)</f>
        <v/>
      </c>
      <c r="W162" s="29">
        <f>IF(OR(N162="",G162="",G162=0),"",N162/(G162/60))</f>
        <v/>
      </c>
    </row>
    <row r="163">
      <c r="A163" s="22" t="n"/>
      <c r="B163" s="23" t="n"/>
      <c r="C163" s="24" t="n"/>
      <c r="D163" s="24" t="n"/>
      <c r="E163" s="24" t="n"/>
      <c r="F163" s="22" t="n"/>
      <c r="G163" s="25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2" t="n"/>
      <c r="Q163" s="24" t="n"/>
      <c r="R163" s="24" t="n"/>
      <c r="S163" s="27" t="n"/>
      <c r="T163" s="28">
        <f>IF(Q163="","",IF(Q163="SUCCESS",1,0))</f>
        <v/>
      </c>
      <c r="U163" s="29">
        <f>IF(OR(N163="",Q163&lt;&gt;"SUCCESS"),"",N163-SUM(I163:M163))</f>
        <v/>
      </c>
      <c r="V163" s="30">
        <f>IF(OR(N163="",N163=0,L163=""),"",L163/N163)</f>
        <v/>
      </c>
      <c r="W163" s="29">
        <f>IF(OR(N163="",G163="",G163=0),"",N163/(G163/60))</f>
        <v/>
      </c>
    </row>
    <row r="164">
      <c r="A164" s="22" t="n"/>
      <c r="B164" s="23" t="n"/>
      <c r="C164" s="24" t="n"/>
      <c r="D164" s="24" t="n"/>
      <c r="E164" s="24" t="n"/>
      <c r="F164" s="22" t="n"/>
      <c r="G164" s="25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2" t="n"/>
      <c r="Q164" s="24" t="n"/>
      <c r="R164" s="24" t="n"/>
      <c r="S164" s="27" t="n"/>
      <c r="T164" s="28">
        <f>IF(Q164="","",IF(Q164="SUCCESS",1,0))</f>
        <v/>
      </c>
      <c r="U164" s="29">
        <f>IF(OR(N164="",Q164&lt;&gt;"SUCCESS"),"",N164-SUM(I164:M164))</f>
        <v/>
      </c>
      <c r="V164" s="30">
        <f>IF(OR(N164="",N164=0,L164=""),"",L164/N164)</f>
        <v/>
      </c>
      <c r="W164" s="29">
        <f>IF(OR(N164="",G164="",G164=0),"",N164/(G164/60))</f>
        <v/>
      </c>
    </row>
    <row r="165">
      <c r="A165" s="22" t="n"/>
      <c r="B165" s="23" t="n"/>
      <c r="C165" s="24" t="n"/>
      <c r="D165" s="24" t="n"/>
      <c r="E165" s="24" t="n"/>
      <c r="F165" s="22" t="n"/>
      <c r="G165" s="25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2" t="n"/>
      <c r="Q165" s="24" t="n"/>
      <c r="R165" s="24" t="n"/>
      <c r="S165" s="27" t="n"/>
      <c r="T165" s="28">
        <f>IF(Q165="","",IF(Q165="SUCCESS",1,0))</f>
        <v/>
      </c>
      <c r="U165" s="29">
        <f>IF(OR(N165="",Q165&lt;&gt;"SUCCESS"),"",N165-SUM(I165:M165))</f>
        <v/>
      </c>
      <c r="V165" s="30">
        <f>IF(OR(N165="",N165=0,L165=""),"",L165/N165)</f>
        <v/>
      </c>
      <c r="W165" s="29">
        <f>IF(OR(N165="",G165="",G165=0),"",N165/(G165/60))</f>
        <v/>
      </c>
    </row>
    <row r="166">
      <c r="A166" s="22" t="n"/>
      <c r="B166" s="23" t="n"/>
      <c r="C166" s="24" t="n"/>
      <c r="D166" s="24" t="n"/>
      <c r="E166" s="24" t="n"/>
      <c r="F166" s="22" t="n"/>
      <c r="G166" s="25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2" t="n"/>
      <c r="Q166" s="24" t="n"/>
      <c r="R166" s="24" t="n"/>
      <c r="S166" s="27" t="n"/>
      <c r="T166" s="28">
        <f>IF(Q166="","",IF(Q166="SUCCESS",1,0))</f>
        <v/>
      </c>
      <c r="U166" s="29">
        <f>IF(OR(N166="",Q166&lt;&gt;"SUCCESS"),"",N166-SUM(I166:M166))</f>
        <v/>
      </c>
      <c r="V166" s="30">
        <f>IF(OR(N166="",N166=0,L166=""),"",L166/N166)</f>
        <v/>
      </c>
      <c r="W166" s="29">
        <f>IF(OR(N166="",G166="",G166=0),"",N166/(G166/60))</f>
        <v/>
      </c>
    </row>
    <row r="167">
      <c r="A167" s="22" t="n"/>
      <c r="B167" s="23" t="n"/>
      <c r="C167" s="24" t="n"/>
      <c r="D167" s="24" t="n"/>
      <c r="E167" s="24" t="n"/>
      <c r="F167" s="22" t="n"/>
      <c r="G167" s="25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2" t="n"/>
      <c r="Q167" s="24" t="n"/>
      <c r="R167" s="24" t="n"/>
      <c r="S167" s="27" t="n"/>
      <c r="T167" s="28">
        <f>IF(Q167="","",IF(Q167="SUCCESS",1,0))</f>
        <v/>
      </c>
      <c r="U167" s="29">
        <f>IF(OR(N167="",Q167&lt;&gt;"SUCCESS"),"",N167-SUM(I167:M167))</f>
        <v/>
      </c>
      <c r="V167" s="30">
        <f>IF(OR(N167="",N167=0,L167=""),"",L167/N167)</f>
        <v/>
      </c>
      <c r="W167" s="29">
        <f>IF(OR(N167="",G167="",G167=0),"",N167/(G167/60))</f>
        <v/>
      </c>
    </row>
    <row r="168">
      <c r="A168" s="22" t="n"/>
      <c r="B168" s="23" t="n"/>
      <c r="C168" s="24" t="n"/>
      <c r="D168" s="24" t="n"/>
      <c r="E168" s="24" t="n"/>
      <c r="F168" s="22" t="n"/>
      <c r="G168" s="25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2" t="n"/>
      <c r="Q168" s="24" t="n"/>
      <c r="R168" s="24" t="n"/>
      <c r="S168" s="27" t="n"/>
      <c r="T168" s="28">
        <f>IF(Q168="","",IF(Q168="SUCCESS",1,0))</f>
        <v/>
      </c>
      <c r="U168" s="29">
        <f>IF(OR(N168="",Q168&lt;&gt;"SUCCESS"),"",N168-SUM(I168:M168))</f>
        <v/>
      </c>
      <c r="V168" s="30">
        <f>IF(OR(N168="",N168=0,L168=""),"",L168/N168)</f>
        <v/>
      </c>
      <c r="W168" s="29">
        <f>IF(OR(N168="",G168="",G168=0),"",N168/(G168/60))</f>
        <v/>
      </c>
    </row>
    <row r="169">
      <c r="A169" s="22" t="n"/>
      <c r="B169" s="23" t="n"/>
      <c r="C169" s="24" t="n"/>
      <c r="D169" s="24" t="n"/>
      <c r="E169" s="24" t="n"/>
      <c r="F169" s="22" t="n"/>
      <c r="G169" s="25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2" t="n"/>
      <c r="Q169" s="24" t="n"/>
      <c r="R169" s="24" t="n"/>
      <c r="S169" s="27" t="n"/>
      <c r="T169" s="28">
        <f>IF(Q169="","",IF(Q169="SUCCESS",1,0))</f>
        <v/>
      </c>
      <c r="U169" s="29">
        <f>IF(OR(N169="",Q169&lt;&gt;"SUCCESS"),"",N169-SUM(I169:M169))</f>
        <v/>
      </c>
      <c r="V169" s="30">
        <f>IF(OR(N169="",N169=0,L169=""),"",L169/N169)</f>
        <v/>
      </c>
      <c r="W169" s="29">
        <f>IF(OR(N169="",G169="",G169=0),"",N169/(G169/60))</f>
        <v/>
      </c>
    </row>
    <row r="170">
      <c r="A170" s="22" t="n"/>
      <c r="B170" s="23" t="n"/>
      <c r="C170" s="24" t="n"/>
      <c r="D170" s="24" t="n"/>
      <c r="E170" s="24" t="n"/>
      <c r="F170" s="22" t="n"/>
      <c r="G170" s="25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2" t="n"/>
      <c r="Q170" s="24" t="n"/>
      <c r="R170" s="24" t="n"/>
      <c r="S170" s="27" t="n"/>
      <c r="T170" s="28">
        <f>IF(Q170="","",IF(Q170="SUCCESS",1,0))</f>
        <v/>
      </c>
      <c r="U170" s="29">
        <f>IF(OR(N170="",Q170&lt;&gt;"SUCCESS"),"",N170-SUM(I170:M170))</f>
        <v/>
      </c>
      <c r="V170" s="30">
        <f>IF(OR(N170="",N170=0,L170=""),"",L170/N170)</f>
        <v/>
      </c>
      <c r="W170" s="29">
        <f>IF(OR(N170="",G170="",G170=0),"",N170/(G170/60))</f>
        <v/>
      </c>
    </row>
    <row r="171">
      <c r="A171" s="22" t="n"/>
      <c r="B171" s="23" t="n"/>
      <c r="C171" s="24" t="n"/>
      <c r="D171" s="24" t="n"/>
      <c r="E171" s="24" t="n"/>
      <c r="F171" s="22" t="n"/>
      <c r="G171" s="25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2" t="n"/>
      <c r="Q171" s="24" t="n"/>
      <c r="R171" s="24" t="n"/>
      <c r="S171" s="27" t="n"/>
      <c r="T171" s="28">
        <f>IF(Q171="","",IF(Q171="SUCCESS",1,0))</f>
        <v/>
      </c>
      <c r="U171" s="29">
        <f>IF(OR(N171="",Q171&lt;&gt;"SUCCESS"),"",N171-SUM(I171:M171))</f>
        <v/>
      </c>
      <c r="V171" s="30">
        <f>IF(OR(N171="",N171=0,L171=""),"",L171/N171)</f>
        <v/>
      </c>
      <c r="W171" s="29">
        <f>IF(OR(N171="",G171="",G171=0),"",N171/(G171/60))</f>
        <v/>
      </c>
    </row>
    <row r="172">
      <c r="A172" s="22" t="n"/>
      <c r="B172" s="23" t="n"/>
      <c r="C172" s="24" t="n"/>
      <c r="D172" s="24" t="n"/>
      <c r="E172" s="24" t="n"/>
      <c r="F172" s="22" t="n"/>
      <c r="G172" s="25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2" t="n"/>
      <c r="Q172" s="24" t="n"/>
      <c r="R172" s="24" t="n"/>
      <c r="S172" s="27" t="n"/>
      <c r="T172" s="28">
        <f>IF(Q172="","",IF(Q172="SUCCESS",1,0))</f>
        <v/>
      </c>
      <c r="U172" s="29">
        <f>IF(OR(N172="",Q172&lt;&gt;"SUCCESS"),"",N172-SUM(I172:M172))</f>
        <v/>
      </c>
      <c r="V172" s="30">
        <f>IF(OR(N172="",N172=0,L172=""),"",L172/N172)</f>
        <v/>
      </c>
      <c r="W172" s="29">
        <f>IF(OR(N172="",G172="",G172=0),"",N172/(G172/60))</f>
        <v/>
      </c>
    </row>
    <row r="173">
      <c r="A173" s="22" t="n"/>
      <c r="B173" s="23" t="n"/>
      <c r="C173" s="24" t="n"/>
      <c r="D173" s="24" t="n"/>
      <c r="E173" s="24" t="n"/>
      <c r="F173" s="22" t="n"/>
      <c r="G173" s="25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2" t="n"/>
      <c r="Q173" s="24" t="n"/>
      <c r="R173" s="24" t="n"/>
      <c r="S173" s="27" t="n"/>
      <c r="T173" s="28">
        <f>IF(Q173="","",IF(Q173="SUCCESS",1,0))</f>
        <v/>
      </c>
      <c r="U173" s="29">
        <f>IF(OR(N173="",Q173&lt;&gt;"SUCCESS"),"",N173-SUM(I173:M173))</f>
        <v/>
      </c>
      <c r="V173" s="30">
        <f>IF(OR(N173="",N173=0,L173=""),"",L173/N173)</f>
        <v/>
      </c>
      <c r="W173" s="29">
        <f>IF(OR(N173="",G173="",G173=0),"",N173/(G173/60))</f>
        <v/>
      </c>
    </row>
    <row r="174">
      <c r="A174" s="22" t="n"/>
      <c r="B174" s="23" t="n"/>
      <c r="C174" s="24" t="n"/>
      <c r="D174" s="24" t="n"/>
      <c r="E174" s="24" t="n"/>
      <c r="F174" s="22" t="n"/>
      <c r="G174" s="25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2" t="n"/>
      <c r="Q174" s="24" t="n"/>
      <c r="R174" s="24" t="n"/>
      <c r="S174" s="27" t="n"/>
      <c r="T174" s="28">
        <f>IF(Q174="","",IF(Q174="SUCCESS",1,0))</f>
        <v/>
      </c>
      <c r="U174" s="29">
        <f>IF(OR(N174="",Q174&lt;&gt;"SUCCESS"),"",N174-SUM(I174:M174))</f>
        <v/>
      </c>
      <c r="V174" s="30">
        <f>IF(OR(N174="",N174=0,L174=""),"",L174/N174)</f>
        <v/>
      </c>
      <c r="W174" s="29">
        <f>IF(OR(N174="",G174="",G174=0),"",N174/(G174/60))</f>
        <v/>
      </c>
    </row>
    <row r="175">
      <c r="A175" s="22" t="n"/>
      <c r="B175" s="23" t="n"/>
      <c r="C175" s="24" t="n"/>
      <c r="D175" s="24" t="n"/>
      <c r="E175" s="24" t="n"/>
      <c r="F175" s="22" t="n"/>
      <c r="G175" s="25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2" t="n"/>
      <c r="Q175" s="24" t="n"/>
      <c r="R175" s="24" t="n"/>
      <c r="S175" s="27" t="n"/>
      <c r="T175" s="28">
        <f>IF(Q175="","",IF(Q175="SUCCESS",1,0))</f>
        <v/>
      </c>
      <c r="U175" s="29">
        <f>IF(OR(N175="",Q175&lt;&gt;"SUCCESS"),"",N175-SUM(I175:M175))</f>
        <v/>
      </c>
      <c r="V175" s="30">
        <f>IF(OR(N175="",N175=0,L175=""),"",L175/N175)</f>
        <v/>
      </c>
      <c r="W175" s="29">
        <f>IF(OR(N175="",G175="",G175=0),"",N175/(G175/60))</f>
        <v/>
      </c>
    </row>
    <row r="176">
      <c r="A176" s="22" t="n"/>
      <c r="B176" s="23" t="n"/>
      <c r="C176" s="24" t="n"/>
      <c r="D176" s="24" t="n"/>
      <c r="E176" s="24" t="n"/>
      <c r="F176" s="22" t="n"/>
      <c r="G176" s="25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2" t="n"/>
      <c r="Q176" s="24" t="n"/>
      <c r="R176" s="24" t="n"/>
      <c r="S176" s="27" t="n"/>
      <c r="T176" s="28">
        <f>IF(Q176="","",IF(Q176="SUCCESS",1,0))</f>
        <v/>
      </c>
      <c r="U176" s="29">
        <f>IF(OR(N176="",Q176&lt;&gt;"SUCCESS"),"",N176-SUM(I176:M176))</f>
        <v/>
      </c>
      <c r="V176" s="30">
        <f>IF(OR(N176="",N176=0,L176=""),"",L176/N176)</f>
        <v/>
      </c>
      <c r="W176" s="29">
        <f>IF(OR(N176="",G176="",G176=0),"",N176/(G176/60))</f>
        <v/>
      </c>
    </row>
    <row r="177">
      <c r="A177" s="22" t="n"/>
      <c r="B177" s="23" t="n"/>
      <c r="C177" s="24" t="n"/>
      <c r="D177" s="24" t="n"/>
      <c r="E177" s="24" t="n"/>
      <c r="F177" s="22" t="n"/>
      <c r="G177" s="25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2" t="n"/>
      <c r="Q177" s="24" t="n"/>
      <c r="R177" s="24" t="n"/>
      <c r="S177" s="27" t="n"/>
      <c r="T177" s="28">
        <f>IF(Q177="","",IF(Q177="SUCCESS",1,0))</f>
        <v/>
      </c>
      <c r="U177" s="29">
        <f>IF(OR(N177="",Q177&lt;&gt;"SUCCESS"),"",N177-SUM(I177:M177))</f>
        <v/>
      </c>
      <c r="V177" s="30">
        <f>IF(OR(N177="",N177=0,L177=""),"",L177/N177)</f>
        <v/>
      </c>
      <c r="W177" s="29">
        <f>IF(OR(N177="",G177="",G177=0),"",N177/(G177/60))</f>
        <v/>
      </c>
    </row>
    <row r="178">
      <c r="A178" s="22" t="n"/>
      <c r="B178" s="23" t="n"/>
      <c r="C178" s="24" t="n"/>
      <c r="D178" s="24" t="n"/>
      <c r="E178" s="24" t="n"/>
      <c r="F178" s="22" t="n"/>
      <c r="G178" s="25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2" t="n"/>
      <c r="Q178" s="24" t="n"/>
      <c r="R178" s="24" t="n"/>
      <c r="S178" s="27" t="n"/>
      <c r="T178" s="28">
        <f>IF(Q178="","",IF(Q178="SUCCESS",1,0))</f>
        <v/>
      </c>
      <c r="U178" s="29">
        <f>IF(OR(N178="",Q178&lt;&gt;"SUCCESS"),"",N178-SUM(I178:M178))</f>
        <v/>
      </c>
      <c r="V178" s="30">
        <f>IF(OR(N178="",N178=0,L178=""),"",L178/N178)</f>
        <v/>
      </c>
      <c r="W178" s="29">
        <f>IF(OR(N178="",G178="",G178=0),"",N178/(G178/60))</f>
        <v/>
      </c>
    </row>
    <row r="179">
      <c r="A179" s="22" t="n"/>
      <c r="B179" s="23" t="n"/>
      <c r="C179" s="24" t="n"/>
      <c r="D179" s="24" t="n"/>
      <c r="E179" s="24" t="n"/>
      <c r="F179" s="22" t="n"/>
      <c r="G179" s="25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2" t="n"/>
      <c r="Q179" s="24" t="n"/>
      <c r="R179" s="24" t="n"/>
      <c r="S179" s="27" t="n"/>
      <c r="T179" s="28">
        <f>IF(Q179="","",IF(Q179="SUCCESS",1,0))</f>
        <v/>
      </c>
      <c r="U179" s="29">
        <f>IF(OR(N179="",Q179&lt;&gt;"SUCCESS"),"",N179-SUM(I179:M179))</f>
        <v/>
      </c>
      <c r="V179" s="30">
        <f>IF(OR(N179="",N179=0,L179=""),"",L179/N179)</f>
        <v/>
      </c>
      <c r="W179" s="29">
        <f>IF(OR(N179="",G179="",G179=0),"",N179/(G179/60))</f>
        <v/>
      </c>
    </row>
    <row r="180">
      <c r="A180" s="22" t="n"/>
      <c r="B180" s="23" t="n"/>
      <c r="C180" s="24" t="n"/>
      <c r="D180" s="24" t="n"/>
      <c r="E180" s="24" t="n"/>
      <c r="F180" s="22" t="n"/>
      <c r="G180" s="25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2" t="n"/>
      <c r="Q180" s="24" t="n"/>
      <c r="R180" s="24" t="n"/>
      <c r="S180" s="27" t="n"/>
      <c r="T180" s="28">
        <f>IF(Q180="","",IF(Q180="SUCCESS",1,0))</f>
        <v/>
      </c>
      <c r="U180" s="29">
        <f>IF(OR(N180="",Q180&lt;&gt;"SUCCESS"),"",N180-SUM(I180:M180))</f>
        <v/>
      </c>
      <c r="V180" s="30">
        <f>IF(OR(N180="",N180=0,L180=""),"",L180/N180)</f>
        <v/>
      </c>
      <c r="W180" s="29">
        <f>IF(OR(N180="",G180="",G180=0),"",N180/(G180/60))</f>
        <v/>
      </c>
    </row>
    <row r="181">
      <c r="A181" s="22" t="n"/>
      <c r="B181" s="23" t="n"/>
      <c r="C181" s="24" t="n"/>
      <c r="D181" s="24" t="n"/>
      <c r="E181" s="24" t="n"/>
      <c r="F181" s="22" t="n"/>
      <c r="G181" s="25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2" t="n"/>
      <c r="Q181" s="24" t="n"/>
      <c r="R181" s="24" t="n"/>
      <c r="S181" s="27" t="n"/>
      <c r="T181" s="28">
        <f>IF(Q181="","",IF(Q181="SUCCESS",1,0))</f>
        <v/>
      </c>
      <c r="U181" s="29">
        <f>IF(OR(N181="",Q181&lt;&gt;"SUCCESS"),"",N181-SUM(I181:M181))</f>
        <v/>
      </c>
      <c r="V181" s="30">
        <f>IF(OR(N181="",N181=0,L181=""),"",L181/N181)</f>
        <v/>
      </c>
      <c r="W181" s="29">
        <f>IF(OR(N181="",G181="",G181=0),"",N181/(G181/60))</f>
        <v/>
      </c>
    </row>
    <row r="182">
      <c r="A182" s="22" t="n"/>
      <c r="B182" s="23" t="n"/>
      <c r="C182" s="24" t="n"/>
      <c r="D182" s="24" t="n"/>
      <c r="E182" s="24" t="n"/>
      <c r="F182" s="22" t="n"/>
      <c r="G182" s="25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2" t="n"/>
      <c r="Q182" s="24" t="n"/>
      <c r="R182" s="24" t="n"/>
      <c r="S182" s="27" t="n"/>
      <c r="T182" s="28">
        <f>IF(Q182="","",IF(Q182="SUCCESS",1,0))</f>
        <v/>
      </c>
      <c r="U182" s="29">
        <f>IF(OR(N182="",Q182&lt;&gt;"SUCCESS"),"",N182-SUM(I182:M182))</f>
        <v/>
      </c>
      <c r="V182" s="30">
        <f>IF(OR(N182="",N182=0,L182=""),"",L182/N182)</f>
        <v/>
      </c>
      <c r="W182" s="29">
        <f>IF(OR(N182="",G182="",G182=0),"",N182/(G182/60))</f>
        <v/>
      </c>
    </row>
    <row r="183">
      <c r="A183" s="22" t="n"/>
      <c r="B183" s="23" t="n"/>
      <c r="C183" s="24" t="n"/>
      <c r="D183" s="24" t="n"/>
      <c r="E183" s="24" t="n"/>
      <c r="F183" s="22" t="n"/>
      <c r="G183" s="25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2" t="n"/>
      <c r="Q183" s="24" t="n"/>
      <c r="R183" s="24" t="n"/>
      <c r="S183" s="27" t="n"/>
      <c r="T183" s="28">
        <f>IF(Q183="","",IF(Q183="SUCCESS",1,0))</f>
        <v/>
      </c>
      <c r="U183" s="29">
        <f>IF(OR(N183="",Q183&lt;&gt;"SUCCESS"),"",N183-SUM(I183:M183))</f>
        <v/>
      </c>
      <c r="V183" s="30">
        <f>IF(OR(N183="",N183=0,L183=""),"",L183/N183)</f>
        <v/>
      </c>
      <c r="W183" s="29">
        <f>IF(OR(N183="",G183="",G183=0),"",N183/(G183/60))</f>
        <v/>
      </c>
    </row>
    <row r="184">
      <c r="A184" s="22" t="n"/>
      <c r="B184" s="23" t="n"/>
      <c r="C184" s="24" t="n"/>
      <c r="D184" s="24" t="n"/>
      <c r="E184" s="24" t="n"/>
      <c r="F184" s="22" t="n"/>
      <c r="G184" s="25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2" t="n"/>
      <c r="Q184" s="24" t="n"/>
      <c r="R184" s="24" t="n"/>
      <c r="S184" s="27" t="n"/>
      <c r="T184" s="28">
        <f>IF(Q184="","",IF(Q184="SUCCESS",1,0))</f>
        <v/>
      </c>
      <c r="U184" s="29">
        <f>IF(OR(N184="",Q184&lt;&gt;"SUCCESS"),"",N184-SUM(I184:M184))</f>
        <v/>
      </c>
      <c r="V184" s="30">
        <f>IF(OR(N184="",N184=0,L184=""),"",L184/N184)</f>
        <v/>
      </c>
      <c r="W184" s="29">
        <f>IF(OR(N184="",G184="",G184=0),"",N184/(G184/60))</f>
        <v/>
      </c>
    </row>
    <row r="185">
      <c r="A185" s="22" t="n"/>
      <c r="B185" s="23" t="n"/>
      <c r="C185" s="24" t="n"/>
      <c r="D185" s="24" t="n"/>
      <c r="E185" s="24" t="n"/>
      <c r="F185" s="22" t="n"/>
      <c r="G185" s="25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2" t="n"/>
      <c r="Q185" s="24" t="n"/>
      <c r="R185" s="24" t="n"/>
      <c r="S185" s="27" t="n"/>
      <c r="T185" s="28">
        <f>IF(Q185="","",IF(Q185="SUCCESS",1,0))</f>
        <v/>
      </c>
      <c r="U185" s="29">
        <f>IF(OR(N185="",Q185&lt;&gt;"SUCCESS"),"",N185-SUM(I185:M185))</f>
        <v/>
      </c>
      <c r="V185" s="30">
        <f>IF(OR(N185="",N185=0,L185=""),"",L185/N185)</f>
        <v/>
      </c>
      <c r="W185" s="29">
        <f>IF(OR(N185="",G185="",G185=0),"",N185/(G185/60))</f>
        <v/>
      </c>
    </row>
    <row r="186">
      <c r="A186" s="22" t="n"/>
      <c r="B186" s="23" t="n"/>
      <c r="C186" s="24" t="n"/>
      <c r="D186" s="24" t="n"/>
      <c r="E186" s="24" t="n"/>
      <c r="F186" s="22" t="n"/>
      <c r="G186" s="25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2" t="n"/>
      <c r="Q186" s="24" t="n"/>
      <c r="R186" s="24" t="n"/>
      <c r="S186" s="27" t="n"/>
      <c r="T186" s="28">
        <f>IF(Q186="","",IF(Q186="SUCCESS",1,0))</f>
        <v/>
      </c>
      <c r="U186" s="29">
        <f>IF(OR(N186="",Q186&lt;&gt;"SUCCESS"),"",N186-SUM(I186:M186))</f>
        <v/>
      </c>
      <c r="V186" s="30">
        <f>IF(OR(N186="",N186=0,L186=""),"",L186/N186)</f>
        <v/>
      </c>
      <c r="W186" s="29">
        <f>IF(OR(N186="",G186="",G186=0),"",N186/(G186/60))</f>
        <v/>
      </c>
    </row>
    <row r="187">
      <c r="A187" s="22" t="n"/>
      <c r="B187" s="23" t="n"/>
      <c r="C187" s="24" t="n"/>
      <c r="D187" s="24" t="n"/>
      <c r="E187" s="24" t="n"/>
      <c r="F187" s="22" t="n"/>
      <c r="G187" s="25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2" t="n"/>
      <c r="Q187" s="24" t="n"/>
      <c r="R187" s="24" t="n"/>
      <c r="S187" s="27" t="n"/>
      <c r="T187" s="28">
        <f>IF(Q187="","",IF(Q187="SUCCESS",1,0))</f>
        <v/>
      </c>
      <c r="U187" s="29">
        <f>IF(OR(N187="",Q187&lt;&gt;"SUCCESS"),"",N187-SUM(I187:M187))</f>
        <v/>
      </c>
      <c r="V187" s="30">
        <f>IF(OR(N187="",N187=0,L187=""),"",L187/N187)</f>
        <v/>
      </c>
      <c r="W187" s="29">
        <f>IF(OR(N187="",G187="",G187=0),"",N187/(G187/60))</f>
        <v/>
      </c>
    </row>
    <row r="188">
      <c r="A188" s="22" t="n"/>
      <c r="B188" s="23" t="n"/>
      <c r="C188" s="24" t="n"/>
      <c r="D188" s="24" t="n"/>
      <c r="E188" s="24" t="n"/>
      <c r="F188" s="22" t="n"/>
      <c r="G188" s="25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2" t="n"/>
      <c r="Q188" s="24" t="n"/>
      <c r="R188" s="24" t="n"/>
      <c r="S188" s="27" t="n"/>
      <c r="T188" s="28">
        <f>IF(Q188="","",IF(Q188="SUCCESS",1,0))</f>
        <v/>
      </c>
      <c r="U188" s="29">
        <f>IF(OR(N188="",Q188&lt;&gt;"SUCCESS"),"",N188-SUM(I188:M188))</f>
        <v/>
      </c>
      <c r="V188" s="30">
        <f>IF(OR(N188="",N188=0,L188=""),"",L188/N188)</f>
        <v/>
      </c>
      <c r="W188" s="29">
        <f>IF(OR(N188="",G188="",G188=0),"",N188/(G188/60))</f>
        <v/>
      </c>
    </row>
    <row r="189">
      <c r="A189" s="22" t="n"/>
      <c r="B189" s="23" t="n"/>
      <c r="C189" s="24" t="n"/>
      <c r="D189" s="24" t="n"/>
      <c r="E189" s="24" t="n"/>
      <c r="F189" s="22" t="n"/>
      <c r="G189" s="25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2" t="n"/>
      <c r="Q189" s="24" t="n"/>
      <c r="R189" s="24" t="n"/>
      <c r="S189" s="27" t="n"/>
      <c r="T189" s="28">
        <f>IF(Q189="","",IF(Q189="SUCCESS",1,0))</f>
        <v/>
      </c>
      <c r="U189" s="29">
        <f>IF(OR(N189="",Q189&lt;&gt;"SUCCESS"),"",N189-SUM(I189:M189))</f>
        <v/>
      </c>
      <c r="V189" s="30">
        <f>IF(OR(N189="",N189=0,L189=""),"",L189/N189)</f>
        <v/>
      </c>
      <c r="W189" s="29">
        <f>IF(OR(N189="",G189="",G189=0),"",N189/(G189/60))</f>
        <v/>
      </c>
    </row>
    <row r="190">
      <c r="A190" s="22" t="n"/>
      <c r="B190" s="23" t="n"/>
      <c r="C190" s="24" t="n"/>
      <c r="D190" s="24" t="n"/>
      <c r="E190" s="24" t="n"/>
      <c r="F190" s="22" t="n"/>
      <c r="G190" s="25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2" t="n"/>
      <c r="Q190" s="24" t="n"/>
      <c r="R190" s="24" t="n"/>
      <c r="S190" s="27" t="n"/>
      <c r="T190" s="28">
        <f>IF(Q190="","",IF(Q190="SUCCESS",1,0))</f>
        <v/>
      </c>
      <c r="U190" s="29">
        <f>IF(OR(N190="",Q190&lt;&gt;"SUCCESS"),"",N190-SUM(I190:M190))</f>
        <v/>
      </c>
      <c r="V190" s="30">
        <f>IF(OR(N190="",N190=0,L190=""),"",L190/N190)</f>
        <v/>
      </c>
      <c r="W190" s="29">
        <f>IF(OR(N190="",G190="",G190=0),"",N190/(G190/60))</f>
        <v/>
      </c>
    </row>
    <row r="191">
      <c r="A191" s="22" t="n"/>
      <c r="B191" s="23" t="n"/>
      <c r="C191" s="24" t="n"/>
      <c r="D191" s="24" t="n"/>
      <c r="E191" s="24" t="n"/>
      <c r="F191" s="22" t="n"/>
      <c r="G191" s="25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2" t="n"/>
      <c r="Q191" s="24" t="n"/>
      <c r="R191" s="24" t="n"/>
      <c r="S191" s="27" t="n"/>
      <c r="T191" s="28">
        <f>IF(Q191="","",IF(Q191="SUCCESS",1,0))</f>
        <v/>
      </c>
      <c r="U191" s="29">
        <f>IF(OR(N191="",Q191&lt;&gt;"SUCCESS"),"",N191-SUM(I191:M191))</f>
        <v/>
      </c>
      <c r="V191" s="30">
        <f>IF(OR(N191="",N191=0,L191=""),"",L191/N191)</f>
        <v/>
      </c>
      <c r="W191" s="29">
        <f>IF(OR(N191="",G191="",G191=0),"",N191/(G191/60))</f>
        <v/>
      </c>
    </row>
    <row r="192">
      <c r="A192" s="22" t="n"/>
      <c r="B192" s="23" t="n"/>
      <c r="C192" s="24" t="n"/>
      <c r="D192" s="24" t="n"/>
      <c r="E192" s="24" t="n"/>
      <c r="F192" s="22" t="n"/>
      <c r="G192" s="25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2" t="n"/>
      <c r="Q192" s="24" t="n"/>
      <c r="R192" s="24" t="n"/>
      <c r="S192" s="27" t="n"/>
      <c r="T192" s="28">
        <f>IF(Q192="","",IF(Q192="SUCCESS",1,0))</f>
        <v/>
      </c>
      <c r="U192" s="29">
        <f>IF(OR(N192="",Q192&lt;&gt;"SUCCESS"),"",N192-SUM(I192:M192))</f>
        <v/>
      </c>
      <c r="V192" s="30">
        <f>IF(OR(N192="",N192=0,L192=""),"",L192/N192)</f>
        <v/>
      </c>
      <c r="W192" s="29">
        <f>IF(OR(N192="",G192="",G192=0),"",N192/(G192/60))</f>
        <v/>
      </c>
    </row>
    <row r="193">
      <c r="A193" s="22" t="n"/>
      <c r="B193" s="23" t="n"/>
      <c r="C193" s="24" t="n"/>
      <c r="D193" s="24" t="n"/>
      <c r="E193" s="24" t="n"/>
      <c r="F193" s="22" t="n"/>
      <c r="G193" s="25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2" t="n"/>
      <c r="Q193" s="24" t="n"/>
      <c r="R193" s="24" t="n"/>
      <c r="S193" s="27" t="n"/>
      <c r="T193" s="28">
        <f>IF(Q193="","",IF(Q193="SUCCESS",1,0))</f>
        <v/>
      </c>
      <c r="U193" s="29">
        <f>IF(OR(N193="",Q193&lt;&gt;"SUCCESS"),"",N193-SUM(I193:M193))</f>
        <v/>
      </c>
      <c r="V193" s="30">
        <f>IF(OR(N193="",N193=0,L193=""),"",L193/N193)</f>
        <v/>
      </c>
      <c r="W193" s="29">
        <f>IF(OR(N193="",G193="",G193=0),"",N193/(G193/60))</f>
        <v/>
      </c>
    </row>
    <row r="194">
      <c r="A194" s="22" t="n"/>
      <c r="B194" s="23" t="n"/>
      <c r="C194" s="24" t="n"/>
      <c r="D194" s="24" t="n"/>
      <c r="E194" s="24" t="n"/>
      <c r="F194" s="22" t="n"/>
      <c r="G194" s="25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2" t="n"/>
      <c r="Q194" s="24" t="n"/>
      <c r="R194" s="24" t="n"/>
      <c r="S194" s="27" t="n"/>
      <c r="T194" s="28">
        <f>IF(Q194="","",IF(Q194="SUCCESS",1,0))</f>
        <v/>
      </c>
      <c r="U194" s="29">
        <f>IF(OR(N194="",Q194&lt;&gt;"SUCCESS"),"",N194-SUM(I194:M194))</f>
        <v/>
      </c>
      <c r="V194" s="30">
        <f>IF(OR(N194="",N194=0,L194=""),"",L194/N194)</f>
        <v/>
      </c>
      <c r="W194" s="29">
        <f>IF(OR(N194="",G194="",G194=0),"",N194/(G194/60))</f>
        <v/>
      </c>
    </row>
    <row r="195">
      <c r="A195" s="22" t="n"/>
      <c r="B195" s="23" t="n"/>
      <c r="C195" s="24" t="n"/>
      <c r="D195" s="24" t="n"/>
      <c r="E195" s="24" t="n"/>
      <c r="F195" s="22" t="n"/>
      <c r="G195" s="25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2" t="n"/>
      <c r="Q195" s="24" t="n"/>
      <c r="R195" s="24" t="n"/>
      <c r="S195" s="27" t="n"/>
      <c r="T195" s="28">
        <f>IF(Q195="","",IF(Q195="SUCCESS",1,0))</f>
        <v/>
      </c>
      <c r="U195" s="29">
        <f>IF(OR(N195="",Q195&lt;&gt;"SUCCESS"),"",N195-SUM(I195:M195))</f>
        <v/>
      </c>
      <c r="V195" s="30">
        <f>IF(OR(N195="",N195=0,L195=""),"",L195/N195)</f>
        <v/>
      </c>
      <c r="W195" s="29">
        <f>IF(OR(N195="",G195="",G195=0),"",N195/(G195/60))</f>
        <v/>
      </c>
    </row>
    <row r="196">
      <c r="A196" s="22" t="n"/>
      <c r="B196" s="23" t="n"/>
      <c r="C196" s="24" t="n"/>
      <c r="D196" s="24" t="n"/>
      <c r="E196" s="24" t="n"/>
      <c r="F196" s="22" t="n"/>
      <c r="G196" s="25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2" t="n"/>
      <c r="Q196" s="24" t="n"/>
      <c r="R196" s="24" t="n"/>
      <c r="S196" s="27" t="n"/>
      <c r="T196" s="28">
        <f>IF(Q196="","",IF(Q196="SUCCESS",1,0))</f>
        <v/>
      </c>
      <c r="U196" s="29">
        <f>IF(OR(N196="",Q196&lt;&gt;"SUCCESS"),"",N196-SUM(I196:M196))</f>
        <v/>
      </c>
      <c r="V196" s="30">
        <f>IF(OR(N196="",N196=0,L196=""),"",L196/N196)</f>
        <v/>
      </c>
      <c r="W196" s="29">
        <f>IF(OR(N196="",G196="",G196=0),"",N196/(G196/60))</f>
        <v/>
      </c>
    </row>
    <row r="197">
      <c r="A197" s="22" t="n"/>
      <c r="B197" s="23" t="n"/>
      <c r="C197" s="24" t="n"/>
      <c r="D197" s="24" t="n"/>
      <c r="E197" s="24" t="n"/>
      <c r="F197" s="22" t="n"/>
      <c r="G197" s="25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2" t="n"/>
      <c r="Q197" s="24" t="n"/>
      <c r="R197" s="24" t="n"/>
      <c r="S197" s="27" t="n"/>
      <c r="T197" s="28">
        <f>IF(Q197="","",IF(Q197="SUCCESS",1,0))</f>
        <v/>
      </c>
      <c r="U197" s="29">
        <f>IF(OR(N197="",Q197&lt;&gt;"SUCCESS"),"",N197-SUM(I197:M197))</f>
        <v/>
      </c>
      <c r="V197" s="30">
        <f>IF(OR(N197="",N197=0,L197=""),"",L197/N197)</f>
        <v/>
      </c>
      <c r="W197" s="29">
        <f>IF(OR(N197="",G197="",G197=0),"",N197/(G197/60))</f>
        <v/>
      </c>
    </row>
    <row r="198">
      <c r="A198" s="22" t="n"/>
      <c r="B198" s="23" t="n"/>
      <c r="C198" s="24" t="n"/>
      <c r="D198" s="24" t="n"/>
      <c r="E198" s="24" t="n"/>
      <c r="F198" s="22" t="n"/>
      <c r="G198" s="25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2" t="n"/>
      <c r="Q198" s="24" t="n"/>
      <c r="R198" s="24" t="n"/>
      <c r="S198" s="27" t="n"/>
      <c r="T198" s="28">
        <f>IF(Q198="","",IF(Q198="SUCCESS",1,0))</f>
        <v/>
      </c>
      <c r="U198" s="29">
        <f>IF(OR(N198="",Q198&lt;&gt;"SUCCESS"),"",N198-SUM(I198:M198))</f>
        <v/>
      </c>
      <c r="V198" s="30">
        <f>IF(OR(N198="",N198=0,L198=""),"",L198/N198)</f>
        <v/>
      </c>
      <c r="W198" s="29">
        <f>IF(OR(N198="",G198="",G198=0),"",N198/(G198/60))</f>
        <v/>
      </c>
    </row>
    <row r="199">
      <c r="A199" s="22" t="n"/>
      <c r="B199" s="23" t="n"/>
      <c r="C199" s="24" t="n"/>
      <c r="D199" s="24" t="n"/>
      <c r="E199" s="24" t="n"/>
      <c r="F199" s="22" t="n"/>
      <c r="G199" s="25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2" t="n"/>
      <c r="Q199" s="24" t="n"/>
      <c r="R199" s="24" t="n"/>
      <c r="S199" s="27" t="n"/>
      <c r="T199" s="28">
        <f>IF(Q199="","",IF(Q199="SUCCESS",1,0))</f>
        <v/>
      </c>
      <c r="U199" s="29">
        <f>IF(OR(N199="",Q199&lt;&gt;"SUCCESS"),"",N199-SUM(I199:M199))</f>
        <v/>
      </c>
      <c r="V199" s="30">
        <f>IF(OR(N199="",N199=0,L199=""),"",L199/N199)</f>
        <v/>
      </c>
      <c r="W199" s="29">
        <f>IF(OR(N199="",G199="",G199=0),"",N199/(G199/60))</f>
        <v/>
      </c>
    </row>
    <row r="200">
      <c r="A200" s="22" t="n"/>
      <c r="B200" s="23" t="n"/>
      <c r="C200" s="24" t="n"/>
      <c r="D200" s="24" t="n"/>
      <c r="E200" s="24" t="n"/>
      <c r="F200" s="22" t="n"/>
      <c r="G200" s="25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2" t="n"/>
      <c r="Q200" s="24" t="n"/>
      <c r="R200" s="24" t="n"/>
      <c r="S200" s="27" t="n"/>
      <c r="T200" s="28">
        <f>IF(Q200="","",IF(Q200="SUCCESS",1,0))</f>
        <v/>
      </c>
      <c r="U200" s="29">
        <f>IF(OR(N200="",Q200&lt;&gt;"SUCCESS"),"",N200-SUM(I200:M200))</f>
        <v/>
      </c>
      <c r="V200" s="30">
        <f>IF(OR(N200="",N200=0,L200=""),"",L200/N200)</f>
        <v/>
      </c>
      <c r="W200" s="29">
        <f>IF(OR(N200="",G200="",G200=0),"",N200/(G200/60))</f>
        <v/>
      </c>
    </row>
    <row r="201">
      <c r="A201" s="22" t="n"/>
      <c r="B201" s="23" t="n"/>
      <c r="C201" s="24" t="n"/>
      <c r="D201" s="24" t="n"/>
      <c r="E201" s="24" t="n"/>
      <c r="F201" s="22" t="n"/>
      <c r="G201" s="25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2" t="n"/>
      <c r="Q201" s="24" t="n"/>
      <c r="R201" s="24" t="n"/>
      <c r="S201" s="27" t="n"/>
      <c r="T201" s="28">
        <f>IF(Q201="","",IF(Q201="SUCCESS",1,0))</f>
        <v/>
      </c>
      <c r="U201" s="29">
        <f>IF(OR(N201="",Q201&lt;&gt;"SUCCESS"),"",N201-SUM(I201:M201))</f>
        <v/>
      </c>
      <c r="V201" s="30">
        <f>IF(OR(N201="",N201=0,L201=""),"",L201/N201)</f>
        <v/>
      </c>
      <c r="W201" s="29">
        <f>IF(OR(N201="",G201="",G201=0),"",N201/(G201/60))</f>
        <v/>
      </c>
    </row>
    <row r="202">
      <c r="A202" s="22" t="n"/>
      <c r="B202" s="23" t="n"/>
      <c r="C202" s="24" t="n"/>
      <c r="D202" s="24" t="n"/>
      <c r="E202" s="24" t="n"/>
      <c r="F202" s="22" t="n"/>
      <c r="G202" s="25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2" t="n"/>
      <c r="Q202" s="24" t="n"/>
      <c r="R202" s="24" t="n"/>
      <c r="S202" s="27" t="n"/>
      <c r="T202" s="28">
        <f>IF(Q202="","",IF(Q202="SUCCESS",1,0))</f>
        <v/>
      </c>
      <c r="U202" s="29">
        <f>IF(OR(N202="",Q202&lt;&gt;"SUCCESS"),"",N202-SUM(I202:M202))</f>
        <v/>
      </c>
      <c r="V202" s="30">
        <f>IF(OR(N202="",N202=0,L202=""),"",L202/N202)</f>
        <v/>
      </c>
      <c r="W202" s="29">
        <f>IF(OR(N202="",G202="",G202=0),"",N202/(G202/60))</f>
        <v/>
      </c>
    </row>
    <row r="203">
      <c r="A203" s="22" t="n"/>
      <c r="B203" s="23" t="n"/>
      <c r="C203" s="24" t="n"/>
      <c r="D203" s="24" t="n"/>
      <c r="E203" s="24" t="n"/>
      <c r="F203" s="22" t="n"/>
      <c r="G203" s="25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2" t="n"/>
      <c r="Q203" s="24" t="n"/>
      <c r="R203" s="24" t="n"/>
      <c r="S203" s="27" t="n"/>
      <c r="T203" s="28">
        <f>IF(Q203="","",IF(Q203="SUCCESS",1,0))</f>
        <v/>
      </c>
      <c r="U203" s="29">
        <f>IF(OR(N203="",Q203&lt;&gt;"SUCCESS"),"",N203-SUM(I203:M203))</f>
        <v/>
      </c>
      <c r="V203" s="30">
        <f>IF(OR(N203="",N203=0,L203=""),"",L203/N203)</f>
        <v/>
      </c>
      <c r="W203" s="29">
        <f>IF(OR(N203="",G203="",G203=0),"",N203/(G203/60))</f>
        <v/>
      </c>
    </row>
    <row r="204">
      <c r="A204" s="22" t="n"/>
      <c r="B204" s="23" t="n"/>
      <c r="C204" s="24" t="n"/>
      <c r="D204" s="24" t="n"/>
      <c r="E204" s="24" t="n"/>
      <c r="F204" s="22" t="n"/>
      <c r="G204" s="25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2" t="n"/>
      <c r="Q204" s="24" t="n"/>
      <c r="R204" s="24" t="n"/>
      <c r="S204" s="27" t="n"/>
      <c r="T204" s="28">
        <f>IF(Q204="","",IF(Q204="SUCCESS",1,0))</f>
        <v/>
      </c>
      <c r="U204" s="29">
        <f>IF(OR(N204="",Q204&lt;&gt;"SUCCESS"),"",N204-SUM(I204:M204))</f>
        <v/>
      </c>
      <c r="V204" s="30">
        <f>IF(OR(N204="",N204=0,L204=""),"",L204/N204)</f>
        <v/>
      </c>
      <c r="W204" s="29">
        <f>IF(OR(N204="",G204="",G204=0),"",N204/(G204/60))</f>
        <v/>
      </c>
    </row>
    <row r="205">
      <c r="A205" s="22" t="n"/>
      <c r="B205" s="23" t="n"/>
      <c r="C205" s="24" t="n"/>
      <c r="D205" s="24" t="n"/>
      <c r="E205" s="24" t="n"/>
      <c r="F205" s="22" t="n"/>
      <c r="G205" s="25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2" t="n"/>
      <c r="Q205" s="24" t="n"/>
      <c r="R205" s="24" t="n"/>
      <c r="S205" s="27" t="n"/>
      <c r="T205" s="28">
        <f>IF(Q205="","",IF(Q205="SUCCESS",1,0))</f>
        <v/>
      </c>
      <c r="U205" s="29">
        <f>IF(OR(N205="",Q205&lt;&gt;"SUCCESS"),"",N205-SUM(I205:M205))</f>
        <v/>
      </c>
      <c r="V205" s="30">
        <f>IF(OR(N205="",N205=0,L205=""),"",L205/N205)</f>
        <v/>
      </c>
      <c r="W205" s="29">
        <f>IF(OR(N205="",G205="",G205=0),"",N205/(G205/60))</f>
        <v/>
      </c>
    </row>
    <row r="206">
      <c r="A206" s="22" t="n"/>
      <c r="B206" s="23" t="n"/>
      <c r="C206" s="24" t="n"/>
      <c r="D206" s="24" t="n"/>
      <c r="E206" s="24" t="n"/>
      <c r="F206" s="22" t="n"/>
      <c r="G206" s="25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2" t="n"/>
      <c r="Q206" s="24" t="n"/>
      <c r="R206" s="24" t="n"/>
      <c r="S206" s="27" t="n"/>
      <c r="T206" s="28">
        <f>IF(Q206="","",IF(Q206="SUCCESS",1,0))</f>
        <v/>
      </c>
      <c r="U206" s="29">
        <f>IF(OR(N206="",Q206&lt;&gt;"SUCCESS"),"",N206-SUM(I206:M206))</f>
        <v/>
      </c>
      <c r="V206" s="30">
        <f>IF(OR(N206="",N206=0,L206=""),"",L206/N206)</f>
        <v/>
      </c>
      <c r="W206" s="29">
        <f>IF(OR(N206="",G206="",G206=0),"",N206/(G206/60))</f>
        <v/>
      </c>
    </row>
    <row r="207">
      <c r="A207" s="22" t="n"/>
      <c r="B207" s="23" t="n"/>
      <c r="C207" s="24" t="n"/>
      <c r="D207" s="24" t="n"/>
      <c r="E207" s="24" t="n"/>
      <c r="F207" s="22" t="n"/>
      <c r="G207" s="25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2" t="n"/>
      <c r="Q207" s="24" t="n"/>
      <c r="R207" s="24" t="n"/>
      <c r="S207" s="27" t="n"/>
      <c r="T207" s="28">
        <f>IF(Q207="","",IF(Q207="SUCCESS",1,0))</f>
        <v/>
      </c>
      <c r="U207" s="29">
        <f>IF(OR(N207="",Q207&lt;&gt;"SUCCESS"),"",N207-SUM(I207:M207))</f>
        <v/>
      </c>
      <c r="V207" s="30">
        <f>IF(OR(N207="",N207=0,L207=""),"",L207/N207)</f>
        <v/>
      </c>
      <c r="W207" s="29">
        <f>IF(OR(N207="",G207="",G207=0),"",N207/(G207/60))</f>
        <v/>
      </c>
    </row>
    <row r="208">
      <c r="A208" s="22" t="n"/>
      <c r="B208" s="23" t="n"/>
      <c r="C208" s="24" t="n"/>
      <c r="D208" s="24" t="n"/>
      <c r="E208" s="24" t="n"/>
      <c r="F208" s="22" t="n"/>
      <c r="G208" s="25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2" t="n"/>
      <c r="Q208" s="24" t="n"/>
      <c r="R208" s="24" t="n"/>
      <c r="S208" s="27" t="n"/>
      <c r="T208" s="28">
        <f>IF(Q208="","",IF(Q208="SUCCESS",1,0))</f>
        <v/>
      </c>
      <c r="U208" s="29">
        <f>IF(OR(N208="",Q208&lt;&gt;"SUCCESS"),"",N208-SUM(I208:M208))</f>
        <v/>
      </c>
      <c r="V208" s="30">
        <f>IF(OR(N208="",N208=0,L208=""),"",L208/N208)</f>
        <v/>
      </c>
      <c r="W208" s="29">
        <f>IF(OR(N208="",G208="",G208=0),"",N208/(G208/60))</f>
        <v/>
      </c>
    </row>
    <row r="209">
      <c r="A209" s="22" t="n"/>
      <c r="B209" s="23" t="n"/>
      <c r="C209" s="24" t="n"/>
      <c r="D209" s="24" t="n"/>
      <c r="E209" s="24" t="n"/>
      <c r="F209" s="22" t="n"/>
      <c r="G209" s="25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2" t="n"/>
      <c r="Q209" s="24" t="n"/>
      <c r="R209" s="24" t="n"/>
      <c r="S209" s="27" t="n"/>
      <c r="T209" s="28">
        <f>IF(Q209="","",IF(Q209="SUCCESS",1,0))</f>
        <v/>
      </c>
      <c r="U209" s="29">
        <f>IF(OR(N209="",Q209&lt;&gt;"SUCCESS"),"",N209-SUM(I209:M209))</f>
        <v/>
      </c>
      <c r="V209" s="30">
        <f>IF(OR(N209="",N209=0,L209=""),"",L209/N209)</f>
        <v/>
      </c>
      <c r="W209" s="29">
        <f>IF(OR(N209="",G209="",G209=0),"",N209/(G209/60))</f>
        <v/>
      </c>
    </row>
    <row r="210">
      <c r="A210" s="22" t="n"/>
      <c r="B210" s="23" t="n"/>
      <c r="C210" s="24" t="n"/>
      <c r="D210" s="24" t="n"/>
      <c r="E210" s="24" t="n"/>
      <c r="F210" s="22" t="n"/>
      <c r="G210" s="25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2" t="n"/>
      <c r="Q210" s="24" t="n"/>
      <c r="R210" s="24" t="n"/>
      <c r="S210" s="27" t="n"/>
      <c r="T210" s="28">
        <f>IF(Q210="","",IF(Q210="SUCCESS",1,0))</f>
        <v/>
      </c>
      <c r="U210" s="29">
        <f>IF(OR(N210="",Q210&lt;&gt;"SUCCESS"),"",N210-SUM(I210:M210))</f>
        <v/>
      </c>
      <c r="V210" s="30">
        <f>IF(OR(N210="",N210=0,L210=""),"",L210/N210)</f>
        <v/>
      </c>
      <c r="W210" s="29">
        <f>IF(OR(N210="",G210="",G210=0),"",N210/(G210/60))</f>
        <v/>
      </c>
    </row>
    <row r="211">
      <c r="A211" s="22" t="n"/>
      <c r="B211" s="23" t="n"/>
      <c r="C211" s="24" t="n"/>
      <c r="D211" s="24" t="n"/>
      <c r="E211" s="24" t="n"/>
      <c r="F211" s="22" t="n"/>
      <c r="G211" s="25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2" t="n"/>
      <c r="Q211" s="24" t="n"/>
      <c r="R211" s="24" t="n"/>
      <c r="S211" s="27" t="n"/>
      <c r="T211" s="28">
        <f>IF(Q211="","",IF(Q211="SUCCESS",1,0))</f>
        <v/>
      </c>
      <c r="U211" s="29">
        <f>IF(OR(N211="",Q211&lt;&gt;"SUCCESS"),"",N211-SUM(I211:M211))</f>
        <v/>
      </c>
      <c r="V211" s="30">
        <f>IF(OR(N211="",N211=0,L211=""),"",L211/N211)</f>
        <v/>
      </c>
      <c r="W211" s="29">
        <f>IF(OR(N211="",G211="",G211=0),"",N211/(G211/60))</f>
        <v/>
      </c>
    </row>
    <row r="212">
      <c r="A212" s="22" t="n"/>
      <c r="B212" s="23" t="n"/>
      <c r="C212" s="24" t="n"/>
      <c r="D212" s="24" t="n"/>
      <c r="E212" s="24" t="n"/>
      <c r="F212" s="22" t="n"/>
      <c r="G212" s="25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2" t="n"/>
      <c r="Q212" s="24" t="n"/>
      <c r="R212" s="24" t="n"/>
      <c r="S212" s="27" t="n"/>
      <c r="T212" s="28">
        <f>IF(Q212="","",IF(Q212="SUCCESS",1,0))</f>
        <v/>
      </c>
      <c r="U212" s="29">
        <f>IF(OR(N212="",Q212&lt;&gt;"SUCCESS"),"",N212-SUM(I212:M212))</f>
        <v/>
      </c>
      <c r="V212" s="30">
        <f>IF(OR(N212="",N212=0,L212=""),"",L212/N212)</f>
        <v/>
      </c>
      <c r="W212" s="29">
        <f>IF(OR(N212="",G212="",G212=0),"",N212/(G212/60))</f>
        <v/>
      </c>
    </row>
    <row r="213">
      <c r="A213" s="22" t="n"/>
      <c r="B213" s="23" t="n"/>
      <c r="C213" s="24" t="n"/>
      <c r="D213" s="24" t="n"/>
      <c r="E213" s="24" t="n"/>
      <c r="F213" s="22" t="n"/>
      <c r="G213" s="25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2" t="n"/>
      <c r="Q213" s="24" t="n"/>
      <c r="R213" s="24" t="n"/>
      <c r="S213" s="27" t="n"/>
      <c r="T213" s="28">
        <f>IF(Q213="","",IF(Q213="SUCCESS",1,0))</f>
        <v/>
      </c>
      <c r="U213" s="29">
        <f>IF(OR(N213="",Q213&lt;&gt;"SUCCESS"),"",N213-SUM(I213:M213))</f>
        <v/>
      </c>
      <c r="V213" s="30">
        <f>IF(OR(N213="",N213=0,L213=""),"",L213/N213)</f>
        <v/>
      </c>
      <c r="W213" s="29">
        <f>IF(OR(N213="",G213="",G213=0),"",N213/(G213/60))</f>
        <v/>
      </c>
    </row>
    <row r="214">
      <c r="A214" s="22" t="n"/>
      <c r="B214" s="23" t="n"/>
      <c r="C214" s="24" t="n"/>
      <c r="D214" s="24" t="n"/>
      <c r="E214" s="24" t="n"/>
      <c r="F214" s="22" t="n"/>
      <c r="G214" s="25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2" t="n"/>
      <c r="Q214" s="24" t="n"/>
      <c r="R214" s="24" t="n"/>
      <c r="S214" s="27" t="n"/>
      <c r="T214" s="28">
        <f>IF(Q214="","",IF(Q214="SUCCESS",1,0))</f>
        <v/>
      </c>
      <c r="U214" s="29">
        <f>IF(OR(N214="",Q214&lt;&gt;"SUCCESS"),"",N214-SUM(I214:M214))</f>
        <v/>
      </c>
      <c r="V214" s="30">
        <f>IF(OR(N214="",N214=0,L214=""),"",L214/N214)</f>
        <v/>
      </c>
      <c r="W214" s="29">
        <f>IF(OR(N214="",G214="",G214=0),"",N214/(G214/60))</f>
        <v/>
      </c>
    </row>
    <row r="215">
      <c r="A215" s="22" t="n"/>
      <c r="B215" s="23" t="n"/>
      <c r="C215" s="24" t="n"/>
      <c r="D215" s="24" t="n"/>
      <c r="E215" s="24" t="n"/>
      <c r="F215" s="22" t="n"/>
      <c r="G215" s="25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2" t="n"/>
      <c r="Q215" s="24" t="n"/>
      <c r="R215" s="24" t="n"/>
      <c r="S215" s="27" t="n"/>
      <c r="T215" s="28">
        <f>IF(Q215="","",IF(Q215="SUCCESS",1,0))</f>
        <v/>
      </c>
      <c r="U215" s="29">
        <f>IF(OR(N215="",Q215&lt;&gt;"SUCCESS"),"",N215-SUM(I215:M215))</f>
        <v/>
      </c>
      <c r="V215" s="30">
        <f>IF(OR(N215="",N215=0,L215=""),"",L215/N215)</f>
        <v/>
      </c>
      <c r="W215" s="29">
        <f>IF(OR(N215="",G215="",G215=0),"",N215/(G215/60))</f>
        <v/>
      </c>
    </row>
    <row r="216">
      <c r="A216" s="22" t="n"/>
      <c r="B216" s="23" t="n"/>
      <c r="C216" s="24" t="n"/>
      <c r="D216" s="24" t="n"/>
      <c r="E216" s="24" t="n"/>
      <c r="F216" s="22" t="n"/>
      <c r="G216" s="25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2" t="n"/>
      <c r="Q216" s="24" t="n"/>
      <c r="R216" s="24" t="n"/>
      <c r="S216" s="27" t="n"/>
      <c r="T216" s="28">
        <f>IF(Q216="","",IF(Q216="SUCCESS",1,0))</f>
        <v/>
      </c>
      <c r="U216" s="29">
        <f>IF(OR(N216="",Q216&lt;&gt;"SUCCESS"),"",N216-SUM(I216:M216))</f>
        <v/>
      </c>
      <c r="V216" s="30">
        <f>IF(OR(N216="",N216=0,L216=""),"",L216/N216)</f>
        <v/>
      </c>
      <c r="W216" s="29">
        <f>IF(OR(N216="",G216="",G216=0),"",N216/(G216/60))</f>
        <v/>
      </c>
    </row>
    <row r="217">
      <c r="A217" s="22" t="n"/>
      <c r="B217" s="23" t="n"/>
      <c r="C217" s="24" t="n"/>
      <c r="D217" s="24" t="n"/>
      <c r="E217" s="24" t="n"/>
      <c r="F217" s="22" t="n"/>
      <c r="G217" s="25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2" t="n"/>
      <c r="Q217" s="24" t="n"/>
      <c r="R217" s="24" t="n"/>
      <c r="S217" s="27" t="n"/>
      <c r="T217" s="28">
        <f>IF(Q217="","",IF(Q217="SUCCESS",1,0))</f>
        <v/>
      </c>
      <c r="U217" s="29">
        <f>IF(OR(N217="",Q217&lt;&gt;"SUCCESS"),"",N217-SUM(I217:M217))</f>
        <v/>
      </c>
      <c r="V217" s="30">
        <f>IF(OR(N217="",N217=0,L217=""),"",L217/N217)</f>
        <v/>
      </c>
      <c r="W217" s="29">
        <f>IF(OR(N217="",G217="",G217=0),"",N217/(G217/60))</f>
        <v/>
      </c>
    </row>
    <row r="218">
      <c r="A218" s="22" t="n"/>
      <c r="B218" s="23" t="n"/>
      <c r="C218" s="24" t="n"/>
      <c r="D218" s="24" t="n"/>
      <c r="E218" s="24" t="n"/>
      <c r="F218" s="22" t="n"/>
      <c r="G218" s="25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2" t="n"/>
      <c r="Q218" s="24" t="n"/>
      <c r="R218" s="24" t="n"/>
      <c r="S218" s="27" t="n"/>
      <c r="T218" s="28">
        <f>IF(Q218="","",IF(Q218="SUCCESS",1,0))</f>
        <v/>
      </c>
      <c r="U218" s="29">
        <f>IF(OR(N218="",Q218&lt;&gt;"SUCCESS"),"",N218-SUM(I218:M218))</f>
        <v/>
      </c>
      <c r="V218" s="30">
        <f>IF(OR(N218="",N218=0,L218=""),"",L218/N218)</f>
        <v/>
      </c>
      <c r="W218" s="29">
        <f>IF(OR(N218="",G218="",G218=0),"",N218/(G218/60))</f>
        <v/>
      </c>
    </row>
    <row r="219">
      <c r="A219" s="22" t="n"/>
      <c r="B219" s="23" t="n"/>
      <c r="C219" s="24" t="n"/>
      <c r="D219" s="24" t="n"/>
      <c r="E219" s="24" t="n"/>
      <c r="F219" s="22" t="n"/>
      <c r="G219" s="25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2" t="n"/>
      <c r="Q219" s="24" t="n"/>
      <c r="R219" s="24" t="n"/>
      <c r="S219" s="27" t="n"/>
      <c r="T219" s="28">
        <f>IF(Q219="","",IF(Q219="SUCCESS",1,0))</f>
        <v/>
      </c>
      <c r="U219" s="29">
        <f>IF(OR(N219="",Q219&lt;&gt;"SUCCESS"),"",N219-SUM(I219:M219))</f>
        <v/>
      </c>
      <c r="V219" s="30">
        <f>IF(OR(N219="",N219=0,L219=""),"",L219/N219)</f>
        <v/>
      </c>
      <c r="W219" s="29">
        <f>IF(OR(N219="",G219="",G219=0),"",N219/(G219/60))</f>
        <v/>
      </c>
    </row>
    <row r="220">
      <c r="A220" s="22" t="n"/>
      <c r="B220" s="23" t="n"/>
      <c r="C220" s="24" t="n"/>
      <c r="D220" s="24" t="n"/>
      <c r="E220" s="24" t="n"/>
      <c r="F220" s="22" t="n"/>
      <c r="G220" s="25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2" t="n"/>
      <c r="Q220" s="24" t="n"/>
      <c r="R220" s="24" t="n"/>
      <c r="S220" s="27" t="n"/>
      <c r="T220" s="28">
        <f>IF(Q220="","",IF(Q220="SUCCESS",1,0))</f>
        <v/>
      </c>
      <c r="U220" s="29">
        <f>IF(OR(N220="",Q220&lt;&gt;"SUCCESS"),"",N220-SUM(I220:M220))</f>
        <v/>
      </c>
      <c r="V220" s="30">
        <f>IF(OR(N220="",N220=0,L220=""),"",L220/N220)</f>
        <v/>
      </c>
      <c r="W220" s="29">
        <f>IF(OR(N220="",G220="",G220=0),"",N220/(G220/60))</f>
        <v/>
      </c>
    </row>
    <row r="221">
      <c r="A221" s="22" t="n"/>
      <c r="B221" s="23" t="n"/>
      <c r="C221" s="24" t="n"/>
      <c r="D221" s="24" t="n"/>
      <c r="E221" s="24" t="n"/>
      <c r="F221" s="22" t="n"/>
      <c r="G221" s="25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2" t="n"/>
      <c r="Q221" s="24" t="n"/>
      <c r="R221" s="24" t="n"/>
      <c r="S221" s="27" t="n"/>
      <c r="T221" s="28">
        <f>IF(Q221="","",IF(Q221="SUCCESS",1,0))</f>
        <v/>
      </c>
      <c r="U221" s="29">
        <f>IF(OR(N221="",Q221&lt;&gt;"SUCCESS"),"",N221-SUM(I221:M221))</f>
        <v/>
      </c>
      <c r="V221" s="30">
        <f>IF(OR(N221="",N221=0,L221=""),"",L221/N221)</f>
        <v/>
      </c>
      <c r="W221" s="29">
        <f>IF(OR(N221="",G221="",G221=0),"",N221/(G221/60))</f>
        <v/>
      </c>
    </row>
    <row r="222">
      <c r="A222" s="22" t="n"/>
      <c r="B222" s="23" t="n"/>
      <c r="C222" s="24" t="n"/>
      <c r="D222" s="24" t="n"/>
      <c r="E222" s="24" t="n"/>
      <c r="F222" s="22" t="n"/>
      <c r="G222" s="25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2" t="n"/>
      <c r="Q222" s="24" t="n"/>
      <c r="R222" s="24" t="n"/>
      <c r="S222" s="27" t="n"/>
      <c r="T222" s="28">
        <f>IF(Q222="","",IF(Q222="SUCCESS",1,0))</f>
        <v/>
      </c>
      <c r="U222" s="29">
        <f>IF(OR(N222="",Q222&lt;&gt;"SUCCESS"),"",N222-SUM(I222:M222))</f>
        <v/>
      </c>
      <c r="V222" s="30">
        <f>IF(OR(N222="",N222=0,L222=""),"",L222/N222)</f>
        <v/>
      </c>
      <c r="W222" s="29">
        <f>IF(OR(N222="",G222="",G222=0),"",N222/(G222/60))</f>
        <v/>
      </c>
    </row>
    <row r="223">
      <c r="A223" s="22" t="n"/>
      <c r="B223" s="23" t="n"/>
      <c r="C223" s="24" t="n"/>
      <c r="D223" s="24" t="n"/>
      <c r="E223" s="24" t="n"/>
      <c r="F223" s="22" t="n"/>
      <c r="G223" s="25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2" t="n"/>
      <c r="Q223" s="24" t="n"/>
      <c r="R223" s="24" t="n"/>
      <c r="S223" s="27" t="n"/>
      <c r="T223" s="28">
        <f>IF(Q223="","",IF(Q223="SUCCESS",1,0))</f>
        <v/>
      </c>
      <c r="U223" s="29">
        <f>IF(OR(N223="",Q223&lt;&gt;"SUCCESS"),"",N223-SUM(I223:M223))</f>
        <v/>
      </c>
      <c r="V223" s="30">
        <f>IF(OR(N223="",N223=0,L223=""),"",L223/N223)</f>
        <v/>
      </c>
      <c r="W223" s="29">
        <f>IF(OR(N223="",G223="",G223=0),"",N223/(G223/60))</f>
        <v/>
      </c>
    </row>
    <row r="224">
      <c r="A224" s="22" t="n"/>
      <c r="B224" s="23" t="n"/>
      <c r="C224" s="24" t="n"/>
      <c r="D224" s="24" t="n"/>
      <c r="E224" s="24" t="n"/>
      <c r="F224" s="22" t="n"/>
      <c r="G224" s="25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2" t="n"/>
      <c r="Q224" s="24" t="n"/>
      <c r="R224" s="24" t="n"/>
      <c r="S224" s="27" t="n"/>
      <c r="T224" s="28">
        <f>IF(Q224="","",IF(Q224="SUCCESS",1,0))</f>
        <v/>
      </c>
      <c r="U224" s="29">
        <f>IF(OR(N224="",Q224&lt;&gt;"SUCCESS"),"",N224-SUM(I224:M224))</f>
        <v/>
      </c>
      <c r="V224" s="30">
        <f>IF(OR(N224="",N224=0,L224=""),"",L224/N224)</f>
        <v/>
      </c>
      <c r="W224" s="29">
        <f>IF(OR(N224="",G224="",G224=0),"",N224/(G224/60))</f>
        <v/>
      </c>
    </row>
    <row r="225">
      <c r="A225" s="22" t="n"/>
      <c r="B225" s="23" t="n"/>
      <c r="C225" s="24" t="n"/>
      <c r="D225" s="24" t="n"/>
      <c r="E225" s="24" t="n"/>
      <c r="F225" s="22" t="n"/>
      <c r="G225" s="25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2" t="n"/>
      <c r="Q225" s="24" t="n"/>
      <c r="R225" s="24" t="n"/>
      <c r="S225" s="27" t="n"/>
      <c r="T225" s="28">
        <f>IF(Q225="","",IF(Q225="SUCCESS",1,0))</f>
        <v/>
      </c>
      <c r="U225" s="29">
        <f>IF(OR(N225="",Q225&lt;&gt;"SUCCESS"),"",N225-SUM(I225:M225))</f>
        <v/>
      </c>
      <c r="V225" s="30">
        <f>IF(OR(N225="",N225=0,L225=""),"",L225/N225)</f>
        <v/>
      </c>
      <c r="W225" s="29">
        <f>IF(OR(N225="",G225="",G225=0),"",N225/(G225/60))</f>
        <v/>
      </c>
    </row>
    <row r="226">
      <c r="A226" s="22" t="n"/>
      <c r="B226" s="23" t="n"/>
      <c r="C226" s="24" t="n"/>
      <c r="D226" s="24" t="n"/>
      <c r="E226" s="24" t="n"/>
      <c r="F226" s="22" t="n"/>
      <c r="G226" s="25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2" t="n"/>
      <c r="Q226" s="24" t="n"/>
      <c r="R226" s="24" t="n"/>
      <c r="S226" s="27" t="n"/>
      <c r="T226" s="28">
        <f>IF(Q226="","",IF(Q226="SUCCESS",1,0))</f>
        <v/>
      </c>
      <c r="U226" s="29">
        <f>IF(OR(N226="",Q226&lt;&gt;"SUCCESS"),"",N226-SUM(I226:M226))</f>
        <v/>
      </c>
      <c r="V226" s="30">
        <f>IF(OR(N226="",N226=0,L226=""),"",L226/N226)</f>
        <v/>
      </c>
      <c r="W226" s="29">
        <f>IF(OR(N226="",G226="",G226=0),"",N226/(G226/60))</f>
        <v/>
      </c>
    </row>
    <row r="227">
      <c r="A227" s="22" t="n"/>
      <c r="B227" s="23" t="n"/>
      <c r="C227" s="24" t="n"/>
      <c r="D227" s="24" t="n"/>
      <c r="E227" s="24" t="n"/>
      <c r="F227" s="22" t="n"/>
      <c r="G227" s="25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2" t="n"/>
      <c r="Q227" s="24" t="n"/>
      <c r="R227" s="24" t="n"/>
      <c r="S227" s="27" t="n"/>
      <c r="T227" s="28">
        <f>IF(Q227="","",IF(Q227="SUCCESS",1,0))</f>
        <v/>
      </c>
      <c r="U227" s="29">
        <f>IF(OR(N227="",Q227&lt;&gt;"SUCCESS"),"",N227-SUM(I227:M227))</f>
        <v/>
      </c>
      <c r="V227" s="30">
        <f>IF(OR(N227="",N227=0,L227=""),"",L227/N227)</f>
        <v/>
      </c>
      <c r="W227" s="29">
        <f>IF(OR(N227="",G227="",G227=0),"",N227/(G227/60))</f>
        <v/>
      </c>
    </row>
    <row r="228">
      <c r="A228" s="22" t="n"/>
      <c r="B228" s="23" t="n"/>
      <c r="C228" s="24" t="n"/>
      <c r="D228" s="24" t="n"/>
      <c r="E228" s="24" t="n"/>
      <c r="F228" s="22" t="n"/>
      <c r="G228" s="25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2" t="n"/>
      <c r="Q228" s="24" t="n"/>
      <c r="R228" s="24" t="n"/>
      <c r="S228" s="27" t="n"/>
      <c r="T228" s="28">
        <f>IF(Q228="","",IF(Q228="SUCCESS",1,0))</f>
        <v/>
      </c>
      <c r="U228" s="29">
        <f>IF(OR(N228="",Q228&lt;&gt;"SUCCESS"),"",N228-SUM(I228:M228))</f>
        <v/>
      </c>
      <c r="V228" s="30">
        <f>IF(OR(N228="",N228=0,L228=""),"",L228/N228)</f>
        <v/>
      </c>
      <c r="W228" s="29">
        <f>IF(OR(N228="",G228="",G228=0),"",N228/(G228/60))</f>
        <v/>
      </c>
    </row>
    <row r="229">
      <c r="A229" s="22" t="n"/>
      <c r="B229" s="23" t="n"/>
      <c r="C229" s="24" t="n"/>
      <c r="D229" s="24" t="n"/>
      <c r="E229" s="24" t="n"/>
      <c r="F229" s="22" t="n"/>
      <c r="G229" s="25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2" t="n"/>
      <c r="Q229" s="24" t="n"/>
      <c r="R229" s="24" t="n"/>
      <c r="S229" s="27" t="n"/>
      <c r="T229" s="28">
        <f>IF(Q229="","",IF(Q229="SUCCESS",1,0))</f>
        <v/>
      </c>
      <c r="U229" s="29">
        <f>IF(OR(N229="",Q229&lt;&gt;"SUCCESS"),"",N229-SUM(I229:M229))</f>
        <v/>
      </c>
      <c r="V229" s="30">
        <f>IF(OR(N229="",N229=0,L229=""),"",L229/N229)</f>
        <v/>
      </c>
      <c r="W229" s="29">
        <f>IF(OR(N229="",G229="",G229=0),"",N229/(G229/60))</f>
        <v/>
      </c>
    </row>
    <row r="230">
      <c r="A230" s="22" t="n"/>
      <c r="B230" s="23" t="n"/>
      <c r="C230" s="24" t="n"/>
      <c r="D230" s="24" t="n"/>
      <c r="E230" s="24" t="n"/>
      <c r="F230" s="22" t="n"/>
      <c r="G230" s="25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2" t="n"/>
      <c r="Q230" s="24" t="n"/>
      <c r="R230" s="24" t="n"/>
      <c r="S230" s="27" t="n"/>
      <c r="T230" s="28">
        <f>IF(Q230="","",IF(Q230="SUCCESS",1,0))</f>
        <v/>
      </c>
      <c r="U230" s="29">
        <f>IF(OR(N230="",Q230&lt;&gt;"SUCCESS"),"",N230-SUM(I230:M230))</f>
        <v/>
      </c>
      <c r="V230" s="30">
        <f>IF(OR(N230="",N230=0,L230=""),"",L230/N230)</f>
        <v/>
      </c>
      <c r="W230" s="29">
        <f>IF(OR(N230="",G230="",G230=0),"",N230/(G230/60))</f>
        <v/>
      </c>
    </row>
    <row r="231">
      <c r="A231" s="22" t="n"/>
      <c r="B231" s="23" t="n"/>
      <c r="C231" s="24" t="n"/>
      <c r="D231" s="24" t="n"/>
      <c r="E231" s="24" t="n"/>
      <c r="F231" s="22" t="n"/>
      <c r="G231" s="25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2" t="n"/>
      <c r="Q231" s="24" t="n"/>
      <c r="R231" s="24" t="n"/>
      <c r="S231" s="27" t="n"/>
      <c r="T231" s="28">
        <f>IF(Q231="","",IF(Q231="SUCCESS",1,0))</f>
        <v/>
      </c>
      <c r="U231" s="29">
        <f>IF(OR(N231="",Q231&lt;&gt;"SUCCESS"),"",N231-SUM(I231:M231))</f>
        <v/>
      </c>
      <c r="V231" s="30">
        <f>IF(OR(N231="",N231=0,L231=""),"",L231/N231)</f>
        <v/>
      </c>
      <c r="W231" s="29">
        <f>IF(OR(N231="",G231="",G231=0),"",N231/(G231/60))</f>
        <v/>
      </c>
    </row>
    <row r="232">
      <c r="A232" s="22" t="n"/>
      <c r="B232" s="23" t="n"/>
      <c r="C232" s="24" t="n"/>
      <c r="D232" s="24" t="n"/>
      <c r="E232" s="24" t="n"/>
      <c r="F232" s="22" t="n"/>
      <c r="G232" s="25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2" t="n"/>
      <c r="Q232" s="24" t="n"/>
      <c r="R232" s="24" t="n"/>
      <c r="S232" s="27" t="n"/>
      <c r="T232" s="28">
        <f>IF(Q232="","",IF(Q232="SUCCESS",1,0))</f>
        <v/>
      </c>
      <c r="U232" s="29">
        <f>IF(OR(N232="",Q232&lt;&gt;"SUCCESS"),"",N232-SUM(I232:M232))</f>
        <v/>
      </c>
      <c r="V232" s="30">
        <f>IF(OR(N232="",N232=0,L232=""),"",L232/N232)</f>
        <v/>
      </c>
      <c r="W232" s="29">
        <f>IF(OR(N232="",G232="",G232=0),"",N232/(G232/60))</f>
        <v/>
      </c>
    </row>
    <row r="233">
      <c r="A233" s="22" t="n"/>
      <c r="B233" s="23" t="n"/>
      <c r="C233" s="24" t="n"/>
      <c r="D233" s="24" t="n"/>
      <c r="E233" s="24" t="n"/>
      <c r="F233" s="22" t="n"/>
      <c r="G233" s="25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2" t="n"/>
      <c r="Q233" s="24" t="n"/>
      <c r="R233" s="24" t="n"/>
      <c r="S233" s="27" t="n"/>
      <c r="T233" s="28">
        <f>IF(Q233="","",IF(Q233="SUCCESS",1,0))</f>
        <v/>
      </c>
      <c r="U233" s="29">
        <f>IF(OR(N233="",Q233&lt;&gt;"SUCCESS"),"",N233-SUM(I233:M233))</f>
        <v/>
      </c>
      <c r="V233" s="30">
        <f>IF(OR(N233="",N233=0,L233=""),"",L233/N233)</f>
        <v/>
      </c>
      <c r="W233" s="29">
        <f>IF(OR(N233="",G233="",G233=0),"",N233/(G233/60))</f>
        <v/>
      </c>
    </row>
    <row r="234">
      <c r="A234" s="22" t="n"/>
      <c r="B234" s="23" t="n"/>
      <c r="C234" s="24" t="n"/>
      <c r="D234" s="24" t="n"/>
      <c r="E234" s="24" t="n"/>
      <c r="F234" s="22" t="n"/>
      <c r="G234" s="25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2" t="n"/>
      <c r="Q234" s="24" t="n"/>
      <c r="R234" s="24" t="n"/>
      <c r="S234" s="27" t="n"/>
      <c r="T234" s="28">
        <f>IF(Q234="","",IF(Q234="SUCCESS",1,0))</f>
        <v/>
      </c>
      <c r="U234" s="29">
        <f>IF(OR(N234="",Q234&lt;&gt;"SUCCESS"),"",N234-SUM(I234:M234))</f>
        <v/>
      </c>
      <c r="V234" s="30">
        <f>IF(OR(N234="",N234=0,L234=""),"",L234/N234)</f>
        <v/>
      </c>
      <c r="W234" s="29">
        <f>IF(OR(N234="",G234="",G234=0),"",N234/(G234/60))</f>
        <v/>
      </c>
    </row>
    <row r="235">
      <c r="A235" s="22" t="n"/>
      <c r="B235" s="23" t="n"/>
      <c r="C235" s="24" t="n"/>
      <c r="D235" s="24" t="n"/>
      <c r="E235" s="24" t="n"/>
      <c r="F235" s="22" t="n"/>
      <c r="G235" s="25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2" t="n"/>
      <c r="Q235" s="24" t="n"/>
      <c r="R235" s="24" t="n"/>
      <c r="S235" s="27" t="n"/>
      <c r="T235" s="28">
        <f>IF(Q235="","",IF(Q235="SUCCESS",1,0))</f>
        <v/>
      </c>
      <c r="U235" s="29">
        <f>IF(OR(N235="",Q235&lt;&gt;"SUCCESS"),"",N235-SUM(I235:M235))</f>
        <v/>
      </c>
      <c r="V235" s="30">
        <f>IF(OR(N235="",N235=0,L235=""),"",L235/N235)</f>
        <v/>
      </c>
      <c r="W235" s="29">
        <f>IF(OR(N235="",G235="",G235=0),"",N235/(G235/60))</f>
        <v/>
      </c>
    </row>
    <row r="236">
      <c r="A236" s="22" t="n"/>
      <c r="B236" s="23" t="n"/>
      <c r="C236" s="24" t="n"/>
      <c r="D236" s="24" t="n"/>
      <c r="E236" s="24" t="n"/>
      <c r="F236" s="22" t="n"/>
      <c r="G236" s="25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2" t="n"/>
      <c r="Q236" s="24" t="n"/>
      <c r="R236" s="24" t="n"/>
      <c r="S236" s="27" t="n"/>
      <c r="T236" s="28">
        <f>IF(Q236="","",IF(Q236="SUCCESS",1,0))</f>
        <v/>
      </c>
      <c r="U236" s="29">
        <f>IF(OR(N236="",Q236&lt;&gt;"SUCCESS"),"",N236-SUM(I236:M236))</f>
        <v/>
      </c>
      <c r="V236" s="30">
        <f>IF(OR(N236="",N236=0,L236=""),"",L236/N236)</f>
        <v/>
      </c>
      <c r="W236" s="29">
        <f>IF(OR(N236="",G236="",G236=0),"",N236/(G236/60))</f>
        <v/>
      </c>
    </row>
    <row r="237">
      <c r="A237" s="22" t="n"/>
      <c r="B237" s="23" t="n"/>
      <c r="C237" s="24" t="n"/>
      <c r="D237" s="24" t="n"/>
      <c r="E237" s="24" t="n"/>
      <c r="F237" s="22" t="n"/>
      <c r="G237" s="25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2" t="n"/>
      <c r="Q237" s="24" t="n"/>
      <c r="R237" s="24" t="n"/>
      <c r="S237" s="27" t="n"/>
      <c r="T237" s="28">
        <f>IF(Q237="","",IF(Q237="SUCCESS",1,0))</f>
        <v/>
      </c>
      <c r="U237" s="29">
        <f>IF(OR(N237="",Q237&lt;&gt;"SUCCESS"),"",N237-SUM(I237:M237))</f>
        <v/>
      </c>
      <c r="V237" s="30">
        <f>IF(OR(N237="",N237=0,L237=""),"",L237/N237)</f>
        <v/>
      </c>
      <c r="W237" s="29">
        <f>IF(OR(N237="",G237="",G237=0),"",N237/(G237/60))</f>
        <v/>
      </c>
    </row>
    <row r="238">
      <c r="A238" s="22" t="n"/>
      <c r="B238" s="23" t="n"/>
      <c r="C238" s="24" t="n"/>
      <c r="D238" s="24" t="n"/>
      <c r="E238" s="24" t="n"/>
      <c r="F238" s="22" t="n"/>
      <c r="G238" s="25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2" t="n"/>
      <c r="Q238" s="24" t="n"/>
      <c r="R238" s="24" t="n"/>
      <c r="S238" s="27" t="n"/>
      <c r="T238" s="28">
        <f>IF(Q238="","",IF(Q238="SUCCESS",1,0))</f>
        <v/>
      </c>
      <c r="U238" s="29">
        <f>IF(OR(N238="",Q238&lt;&gt;"SUCCESS"),"",N238-SUM(I238:M238))</f>
        <v/>
      </c>
      <c r="V238" s="30">
        <f>IF(OR(N238="",N238=0,L238=""),"",L238/N238)</f>
        <v/>
      </c>
      <c r="W238" s="29">
        <f>IF(OR(N238="",G238="",G238=0),"",N238/(G238/60))</f>
        <v/>
      </c>
    </row>
    <row r="239">
      <c r="A239" s="22" t="n"/>
      <c r="B239" s="23" t="n"/>
      <c r="C239" s="24" t="n"/>
      <c r="D239" s="24" t="n"/>
      <c r="E239" s="24" t="n"/>
      <c r="F239" s="22" t="n"/>
      <c r="G239" s="25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2" t="n"/>
      <c r="Q239" s="24" t="n"/>
      <c r="R239" s="24" t="n"/>
      <c r="S239" s="27" t="n"/>
      <c r="T239" s="28">
        <f>IF(Q239="","",IF(Q239="SUCCESS",1,0))</f>
        <v/>
      </c>
      <c r="U239" s="29">
        <f>IF(OR(N239="",Q239&lt;&gt;"SUCCESS"),"",N239-SUM(I239:M239))</f>
        <v/>
      </c>
      <c r="V239" s="30">
        <f>IF(OR(N239="",N239=0,L239=""),"",L239/N239)</f>
        <v/>
      </c>
      <c r="W239" s="29">
        <f>IF(OR(N239="",G239="",G239=0),"",N239/(G239/60))</f>
        <v/>
      </c>
    </row>
    <row r="240">
      <c r="A240" s="22" t="n"/>
      <c r="B240" s="23" t="n"/>
      <c r="C240" s="24" t="n"/>
      <c r="D240" s="24" t="n"/>
      <c r="E240" s="24" t="n"/>
      <c r="F240" s="22" t="n"/>
      <c r="G240" s="25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2" t="n"/>
      <c r="Q240" s="24" t="n"/>
      <c r="R240" s="24" t="n"/>
      <c r="S240" s="27" t="n"/>
      <c r="T240" s="28">
        <f>IF(Q240="","",IF(Q240="SUCCESS",1,0))</f>
        <v/>
      </c>
      <c r="U240" s="29">
        <f>IF(OR(N240="",Q240&lt;&gt;"SUCCESS"),"",N240-SUM(I240:M240))</f>
        <v/>
      </c>
      <c r="V240" s="30">
        <f>IF(OR(N240="",N240=0,L240=""),"",L240/N240)</f>
        <v/>
      </c>
      <c r="W240" s="29">
        <f>IF(OR(N240="",G240="",G240=0),"",N240/(G240/60))</f>
        <v/>
      </c>
    </row>
    <row r="241">
      <c r="A241" s="22" t="n"/>
      <c r="B241" s="23" t="n"/>
      <c r="C241" s="24" t="n"/>
      <c r="D241" s="24" t="n"/>
      <c r="E241" s="24" t="n"/>
      <c r="F241" s="22" t="n"/>
      <c r="G241" s="25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2" t="n"/>
      <c r="Q241" s="24" t="n"/>
      <c r="R241" s="24" t="n"/>
      <c r="S241" s="27" t="n"/>
      <c r="T241" s="28">
        <f>IF(Q241="","",IF(Q241="SUCCESS",1,0))</f>
        <v/>
      </c>
      <c r="U241" s="29">
        <f>IF(OR(N241="",Q241&lt;&gt;"SUCCESS"),"",N241-SUM(I241:M241))</f>
        <v/>
      </c>
      <c r="V241" s="30">
        <f>IF(OR(N241="",N241=0,L241=""),"",L241/N241)</f>
        <v/>
      </c>
      <c r="W241" s="29">
        <f>IF(OR(N241="",G241="",G241=0),"",N241/(G241/60))</f>
        <v/>
      </c>
    </row>
    <row r="242">
      <c r="A242" s="22" t="n"/>
      <c r="B242" s="23" t="n"/>
      <c r="C242" s="24" t="n"/>
      <c r="D242" s="24" t="n"/>
      <c r="E242" s="24" t="n"/>
      <c r="F242" s="22" t="n"/>
      <c r="G242" s="25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2" t="n"/>
      <c r="Q242" s="24" t="n"/>
      <c r="R242" s="24" t="n"/>
      <c r="S242" s="27" t="n"/>
      <c r="T242" s="28">
        <f>IF(Q242="","",IF(Q242="SUCCESS",1,0))</f>
        <v/>
      </c>
      <c r="U242" s="29">
        <f>IF(OR(N242="",Q242&lt;&gt;"SUCCESS"),"",N242-SUM(I242:M242))</f>
        <v/>
      </c>
      <c r="V242" s="30">
        <f>IF(OR(N242="",N242=0,L242=""),"",L242/N242)</f>
        <v/>
      </c>
      <c r="W242" s="29">
        <f>IF(OR(N242="",G242="",G242=0),"",N242/(G242/60))</f>
        <v/>
      </c>
    </row>
    <row r="243">
      <c r="A243" s="22" t="n"/>
      <c r="B243" s="23" t="n"/>
      <c r="C243" s="24" t="n"/>
      <c r="D243" s="24" t="n"/>
      <c r="E243" s="24" t="n"/>
      <c r="F243" s="22" t="n"/>
      <c r="G243" s="25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2" t="n"/>
      <c r="Q243" s="24" t="n"/>
      <c r="R243" s="24" t="n"/>
      <c r="S243" s="27" t="n"/>
      <c r="T243" s="28">
        <f>IF(Q243="","",IF(Q243="SUCCESS",1,0))</f>
        <v/>
      </c>
      <c r="U243" s="29">
        <f>IF(OR(N243="",Q243&lt;&gt;"SUCCESS"),"",N243-SUM(I243:M243))</f>
        <v/>
      </c>
      <c r="V243" s="30">
        <f>IF(OR(N243="",N243=0,L243=""),"",L243/N243)</f>
        <v/>
      </c>
      <c r="W243" s="29">
        <f>IF(OR(N243="",G243="",G243=0),"",N243/(G243/60))</f>
        <v/>
      </c>
    </row>
    <row r="244">
      <c r="A244" s="22" t="n"/>
      <c r="B244" s="23" t="n"/>
      <c r="C244" s="24" t="n"/>
      <c r="D244" s="24" t="n"/>
      <c r="E244" s="24" t="n"/>
      <c r="F244" s="22" t="n"/>
      <c r="G244" s="25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2" t="n"/>
      <c r="Q244" s="24" t="n"/>
      <c r="R244" s="24" t="n"/>
      <c r="S244" s="27" t="n"/>
      <c r="T244" s="28">
        <f>IF(Q244="","",IF(Q244="SUCCESS",1,0))</f>
        <v/>
      </c>
      <c r="U244" s="29">
        <f>IF(OR(N244="",Q244&lt;&gt;"SUCCESS"),"",N244-SUM(I244:M244))</f>
        <v/>
      </c>
      <c r="V244" s="30">
        <f>IF(OR(N244="",N244=0,L244=""),"",L244/N244)</f>
        <v/>
      </c>
      <c r="W244" s="29">
        <f>IF(OR(N244="",G244="",G244=0),"",N244/(G244/60))</f>
        <v/>
      </c>
    </row>
    <row r="245">
      <c r="A245" s="22" t="n"/>
      <c r="B245" s="23" t="n"/>
      <c r="C245" s="24" t="n"/>
      <c r="D245" s="24" t="n"/>
      <c r="E245" s="24" t="n"/>
      <c r="F245" s="22" t="n"/>
      <c r="G245" s="25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2" t="n"/>
      <c r="Q245" s="24" t="n"/>
      <c r="R245" s="24" t="n"/>
      <c r="S245" s="27" t="n"/>
      <c r="T245" s="28">
        <f>IF(Q245="","",IF(Q245="SUCCESS",1,0))</f>
        <v/>
      </c>
      <c r="U245" s="29">
        <f>IF(OR(N245="",Q245&lt;&gt;"SUCCESS"),"",N245-SUM(I245:M245))</f>
        <v/>
      </c>
      <c r="V245" s="30">
        <f>IF(OR(N245="",N245=0,L245=""),"",L245/N245)</f>
        <v/>
      </c>
      <c r="W245" s="29">
        <f>IF(OR(N245="",G245="",G245=0),"",N245/(G245/60))</f>
        <v/>
      </c>
    </row>
    <row r="246">
      <c r="A246" s="22" t="n"/>
      <c r="B246" s="23" t="n"/>
      <c r="C246" s="24" t="n"/>
      <c r="D246" s="24" t="n"/>
      <c r="E246" s="24" t="n"/>
      <c r="F246" s="22" t="n"/>
      <c r="G246" s="25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2" t="n"/>
      <c r="Q246" s="24" t="n"/>
      <c r="R246" s="24" t="n"/>
      <c r="S246" s="27" t="n"/>
      <c r="T246" s="28">
        <f>IF(Q246="","",IF(Q246="SUCCESS",1,0))</f>
        <v/>
      </c>
      <c r="U246" s="29">
        <f>IF(OR(N246="",Q246&lt;&gt;"SUCCESS"),"",N246-SUM(I246:M246))</f>
        <v/>
      </c>
      <c r="V246" s="30">
        <f>IF(OR(N246="",N246=0,L246=""),"",L246/N246)</f>
        <v/>
      </c>
      <c r="W246" s="29">
        <f>IF(OR(N246="",G246="",G246=0),"",N246/(G246/60))</f>
        <v/>
      </c>
    </row>
    <row r="247">
      <c r="A247" s="22" t="n"/>
      <c r="B247" s="23" t="n"/>
      <c r="C247" s="24" t="n"/>
      <c r="D247" s="24" t="n"/>
      <c r="E247" s="24" t="n"/>
      <c r="F247" s="22" t="n"/>
      <c r="G247" s="25" t="n"/>
      <c r="H247" s="26" t="n"/>
      <c r="I247" s="26" t="n"/>
      <c r="J247" s="26" t="n"/>
      <c r="K247" s="26" t="n"/>
      <c r="L247" s="26" t="n"/>
      <c r="M247" s="26" t="n"/>
      <c r="N247" s="26" t="n"/>
      <c r="O247" s="26" t="n"/>
      <c r="P247" s="22" t="n"/>
      <c r="Q247" s="24" t="n"/>
      <c r="R247" s="24" t="n"/>
      <c r="S247" s="27" t="n"/>
      <c r="T247" s="28">
        <f>IF(Q247="","",IF(Q247="SUCCESS",1,0))</f>
        <v/>
      </c>
      <c r="U247" s="29">
        <f>IF(OR(N247="",Q247&lt;&gt;"SUCCESS"),"",N247-SUM(I247:M247))</f>
        <v/>
      </c>
      <c r="V247" s="30">
        <f>IF(OR(N247="",N247=0,L247=""),"",L247/N247)</f>
        <v/>
      </c>
      <c r="W247" s="29">
        <f>IF(OR(N247="",G247="",G247=0),"",N247/(G247/60))</f>
        <v/>
      </c>
    </row>
    <row r="248">
      <c r="A248" s="22" t="n"/>
      <c r="B248" s="23" t="n"/>
      <c r="C248" s="24" t="n"/>
      <c r="D248" s="24" t="n"/>
      <c r="E248" s="24" t="n"/>
      <c r="F248" s="22" t="n"/>
      <c r="G248" s="25" t="n"/>
      <c r="H248" s="26" t="n"/>
      <c r="I248" s="26" t="n"/>
      <c r="J248" s="26" t="n"/>
      <c r="K248" s="26" t="n"/>
      <c r="L248" s="26" t="n"/>
      <c r="M248" s="26" t="n"/>
      <c r="N248" s="26" t="n"/>
      <c r="O248" s="26" t="n"/>
      <c r="P248" s="22" t="n"/>
      <c r="Q248" s="24" t="n"/>
      <c r="R248" s="24" t="n"/>
      <c r="S248" s="27" t="n"/>
      <c r="T248" s="28">
        <f>IF(Q248="","",IF(Q248="SUCCESS",1,0))</f>
        <v/>
      </c>
      <c r="U248" s="29">
        <f>IF(OR(N248="",Q248&lt;&gt;"SUCCESS"),"",N248-SUM(I248:M248))</f>
        <v/>
      </c>
      <c r="V248" s="30">
        <f>IF(OR(N248="",N248=0,L248=""),"",L248/N248)</f>
        <v/>
      </c>
      <c r="W248" s="29">
        <f>IF(OR(N248="",G248="",G248=0),"",N248/(G248/60))</f>
        <v/>
      </c>
    </row>
    <row r="249">
      <c r="A249" s="22" t="n"/>
      <c r="B249" s="23" t="n"/>
      <c r="C249" s="24" t="n"/>
      <c r="D249" s="24" t="n"/>
      <c r="E249" s="24" t="n"/>
      <c r="F249" s="22" t="n"/>
      <c r="G249" s="25" t="n"/>
      <c r="H249" s="26" t="n"/>
      <c r="I249" s="26" t="n"/>
      <c r="J249" s="26" t="n"/>
      <c r="K249" s="26" t="n"/>
      <c r="L249" s="26" t="n"/>
      <c r="M249" s="26" t="n"/>
      <c r="N249" s="26" t="n"/>
      <c r="O249" s="26" t="n"/>
      <c r="P249" s="22" t="n"/>
      <c r="Q249" s="24" t="n"/>
      <c r="R249" s="24" t="n"/>
      <c r="S249" s="27" t="n"/>
      <c r="T249" s="28">
        <f>IF(Q249="","",IF(Q249="SUCCESS",1,0))</f>
        <v/>
      </c>
      <c r="U249" s="29">
        <f>IF(OR(N249="",Q249&lt;&gt;"SUCCESS"),"",N249-SUM(I249:M249))</f>
        <v/>
      </c>
      <c r="V249" s="30">
        <f>IF(OR(N249="",N249=0,L249=""),"",L249/N249)</f>
        <v/>
      </c>
      <c r="W249" s="29">
        <f>IF(OR(N249="",G249="",G249=0),"",N249/(G249/60))</f>
        <v/>
      </c>
    </row>
    <row r="250">
      <c r="A250" s="22" t="n"/>
      <c r="B250" s="23" t="n"/>
      <c r="C250" s="24" t="n"/>
      <c r="D250" s="24" t="n"/>
      <c r="E250" s="24" t="n"/>
      <c r="F250" s="22" t="n"/>
      <c r="G250" s="25" t="n"/>
      <c r="H250" s="26" t="n"/>
      <c r="I250" s="26" t="n"/>
      <c r="J250" s="26" t="n"/>
      <c r="K250" s="26" t="n"/>
      <c r="L250" s="26" t="n"/>
      <c r="M250" s="26" t="n"/>
      <c r="N250" s="26" t="n"/>
      <c r="O250" s="26" t="n"/>
      <c r="P250" s="22" t="n"/>
      <c r="Q250" s="24" t="n"/>
      <c r="R250" s="24" t="n"/>
      <c r="S250" s="27" t="n"/>
      <c r="T250" s="28">
        <f>IF(Q250="","",IF(Q250="SUCCESS",1,0))</f>
        <v/>
      </c>
      <c r="U250" s="29">
        <f>IF(OR(N250="",Q250&lt;&gt;"SUCCESS"),"",N250-SUM(I250:M250))</f>
        <v/>
      </c>
      <c r="V250" s="30">
        <f>IF(OR(N250="",N250=0,L250=""),"",L250/N250)</f>
        <v/>
      </c>
      <c r="W250" s="29">
        <f>IF(OR(N250="",G250="",G250=0),"",N250/(G250/60))</f>
        <v/>
      </c>
    </row>
    <row r="251">
      <c r="A251" s="22" t="n"/>
      <c r="B251" s="23" t="n"/>
      <c r="C251" s="24" t="n"/>
      <c r="D251" s="24" t="n"/>
      <c r="E251" s="24" t="n"/>
      <c r="F251" s="22" t="n"/>
      <c r="G251" s="25" t="n"/>
      <c r="H251" s="26" t="n"/>
      <c r="I251" s="26" t="n"/>
      <c r="J251" s="26" t="n"/>
      <c r="K251" s="26" t="n"/>
      <c r="L251" s="26" t="n"/>
      <c r="M251" s="26" t="n"/>
      <c r="N251" s="26" t="n"/>
      <c r="O251" s="26" t="n"/>
      <c r="P251" s="22" t="n"/>
      <c r="Q251" s="24" t="n"/>
      <c r="R251" s="24" t="n"/>
      <c r="S251" s="27" t="n"/>
      <c r="T251" s="28">
        <f>IF(Q251="","",IF(Q251="SUCCESS",1,0))</f>
        <v/>
      </c>
      <c r="U251" s="29">
        <f>IF(OR(N251="",Q251&lt;&gt;"SUCCESS"),"",N251-SUM(I251:M251))</f>
        <v/>
      </c>
      <c r="V251" s="30">
        <f>IF(OR(N251="",N251=0,L251=""),"",L251/N251)</f>
        <v/>
      </c>
      <c r="W251" s="29">
        <f>IF(OR(N251="",G251="",G251=0),"",N251/(G251/60))</f>
        <v/>
      </c>
    </row>
    <row r="252">
      <c r="A252" s="22" t="n"/>
      <c r="B252" s="23" t="n"/>
      <c r="C252" s="24" t="n"/>
      <c r="D252" s="24" t="n"/>
      <c r="E252" s="24" t="n"/>
      <c r="F252" s="22" t="n"/>
      <c r="G252" s="25" t="n"/>
      <c r="H252" s="26" t="n"/>
      <c r="I252" s="26" t="n"/>
      <c r="J252" s="26" t="n"/>
      <c r="K252" s="26" t="n"/>
      <c r="L252" s="26" t="n"/>
      <c r="M252" s="26" t="n"/>
      <c r="N252" s="26" t="n"/>
      <c r="O252" s="26" t="n"/>
      <c r="P252" s="22" t="n"/>
      <c r="Q252" s="24" t="n"/>
      <c r="R252" s="24" t="n"/>
      <c r="S252" s="27" t="n"/>
      <c r="T252" s="28">
        <f>IF(Q252="","",IF(Q252="SUCCESS",1,0))</f>
        <v/>
      </c>
      <c r="U252" s="29">
        <f>IF(OR(N252="",Q252&lt;&gt;"SUCCESS"),"",N252-SUM(I252:M252))</f>
        <v/>
      </c>
      <c r="V252" s="30">
        <f>IF(OR(N252="",N252=0,L252=""),"",L252/N252)</f>
        <v/>
      </c>
      <c r="W252" s="29">
        <f>IF(OR(N252="",G252="",G252=0),"",N252/(G252/60))</f>
        <v/>
      </c>
    </row>
    <row r="253">
      <c r="A253" s="22" t="n"/>
      <c r="B253" s="23" t="n"/>
      <c r="C253" s="24" t="n"/>
      <c r="D253" s="24" t="n"/>
      <c r="E253" s="24" t="n"/>
      <c r="F253" s="22" t="n"/>
      <c r="G253" s="25" t="n"/>
      <c r="H253" s="26" t="n"/>
      <c r="I253" s="26" t="n"/>
      <c r="J253" s="26" t="n"/>
      <c r="K253" s="26" t="n"/>
      <c r="L253" s="26" t="n"/>
      <c r="M253" s="26" t="n"/>
      <c r="N253" s="26" t="n"/>
      <c r="O253" s="26" t="n"/>
      <c r="P253" s="22" t="n"/>
      <c r="Q253" s="24" t="n"/>
      <c r="R253" s="24" t="n"/>
      <c r="S253" s="27" t="n"/>
      <c r="T253" s="28">
        <f>IF(Q253="","",IF(Q253="SUCCESS",1,0))</f>
        <v/>
      </c>
      <c r="U253" s="29">
        <f>IF(OR(N253="",Q253&lt;&gt;"SUCCESS"),"",N253-SUM(I253:M253))</f>
        <v/>
      </c>
      <c r="V253" s="30">
        <f>IF(OR(N253="",N253=0,L253=""),"",L253/N253)</f>
        <v/>
      </c>
      <c r="W253" s="29">
        <f>IF(OR(N253="",G253="",G253=0),"",N253/(G253/60))</f>
        <v/>
      </c>
    </row>
    <row r="254">
      <c r="A254" s="22" t="n"/>
      <c r="B254" s="23" t="n"/>
      <c r="C254" s="24" t="n"/>
      <c r="D254" s="24" t="n"/>
      <c r="E254" s="24" t="n"/>
      <c r="F254" s="22" t="n"/>
      <c r="G254" s="25" t="n"/>
      <c r="H254" s="26" t="n"/>
      <c r="I254" s="26" t="n"/>
      <c r="J254" s="26" t="n"/>
      <c r="K254" s="26" t="n"/>
      <c r="L254" s="26" t="n"/>
      <c r="M254" s="26" t="n"/>
      <c r="N254" s="26" t="n"/>
      <c r="O254" s="26" t="n"/>
      <c r="P254" s="22" t="n"/>
      <c r="Q254" s="24" t="n"/>
      <c r="R254" s="24" t="n"/>
      <c r="S254" s="27" t="n"/>
      <c r="T254" s="28">
        <f>IF(Q254="","",IF(Q254="SUCCESS",1,0))</f>
        <v/>
      </c>
      <c r="U254" s="29">
        <f>IF(OR(N254="",Q254&lt;&gt;"SUCCESS"),"",N254-SUM(I254:M254))</f>
        <v/>
      </c>
      <c r="V254" s="30">
        <f>IF(OR(N254="",N254=0,L254=""),"",L254/N254)</f>
        <v/>
      </c>
      <c r="W254" s="29">
        <f>IF(OR(N254="",G254="",G254=0),"",N254/(G254/60))</f>
        <v/>
      </c>
    </row>
    <row r="255">
      <c r="A255" s="22" t="n"/>
      <c r="B255" s="23" t="n"/>
      <c r="C255" s="24" t="n"/>
      <c r="D255" s="24" t="n"/>
      <c r="E255" s="24" t="n"/>
      <c r="F255" s="22" t="n"/>
      <c r="G255" s="25" t="n"/>
      <c r="H255" s="26" t="n"/>
      <c r="I255" s="26" t="n"/>
      <c r="J255" s="26" t="n"/>
      <c r="K255" s="26" t="n"/>
      <c r="L255" s="26" t="n"/>
      <c r="M255" s="26" t="n"/>
      <c r="N255" s="26" t="n"/>
      <c r="O255" s="26" t="n"/>
      <c r="P255" s="22" t="n"/>
      <c r="Q255" s="24" t="n"/>
      <c r="R255" s="24" t="n"/>
      <c r="S255" s="27" t="n"/>
      <c r="T255" s="28">
        <f>IF(Q255="","",IF(Q255="SUCCESS",1,0))</f>
        <v/>
      </c>
      <c r="U255" s="29">
        <f>IF(OR(N255="",Q255&lt;&gt;"SUCCESS"),"",N255-SUM(I255:M255))</f>
        <v/>
      </c>
      <c r="V255" s="30">
        <f>IF(OR(N255="",N255=0,L255=""),"",L255/N255)</f>
        <v/>
      </c>
      <c r="W255" s="29">
        <f>IF(OR(N255="",G255="",G255=0),"",N255/(G255/60))</f>
        <v/>
      </c>
    </row>
    <row r="256">
      <c r="A256" s="22" t="n"/>
      <c r="B256" s="23" t="n"/>
      <c r="C256" s="24" t="n"/>
      <c r="D256" s="24" t="n"/>
      <c r="E256" s="24" t="n"/>
      <c r="F256" s="22" t="n"/>
      <c r="G256" s="25" t="n"/>
      <c r="H256" s="26" t="n"/>
      <c r="I256" s="26" t="n"/>
      <c r="J256" s="26" t="n"/>
      <c r="K256" s="26" t="n"/>
      <c r="L256" s="26" t="n"/>
      <c r="M256" s="26" t="n"/>
      <c r="N256" s="26" t="n"/>
      <c r="O256" s="26" t="n"/>
      <c r="P256" s="22" t="n"/>
      <c r="Q256" s="24" t="n"/>
      <c r="R256" s="24" t="n"/>
      <c r="S256" s="27" t="n"/>
      <c r="T256" s="28">
        <f>IF(Q256="","",IF(Q256="SUCCESS",1,0))</f>
        <v/>
      </c>
      <c r="U256" s="29">
        <f>IF(OR(N256="",Q256&lt;&gt;"SUCCESS"),"",N256-SUM(I256:M256))</f>
        <v/>
      </c>
      <c r="V256" s="30">
        <f>IF(OR(N256="",N256=0,L256=""),"",L256/N256)</f>
        <v/>
      </c>
      <c r="W256" s="29">
        <f>IF(OR(N256="",G256="",G256=0),"",N256/(G256/60))</f>
        <v/>
      </c>
    </row>
    <row r="257">
      <c r="A257" s="22" t="n"/>
      <c r="B257" s="23" t="n"/>
      <c r="C257" s="24" t="n"/>
      <c r="D257" s="24" t="n"/>
      <c r="E257" s="24" t="n"/>
      <c r="F257" s="22" t="n"/>
      <c r="G257" s="25" t="n"/>
      <c r="H257" s="26" t="n"/>
      <c r="I257" s="26" t="n"/>
      <c r="J257" s="26" t="n"/>
      <c r="K257" s="26" t="n"/>
      <c r="L257" s="26" t="n"/>
      <c r="M257" s="26" t="n"/>
      <c r="N257" s="26" t="n"/>
      <c r="O257" s="26" t="n"/>
      <c r="P257" s="22" t="n"/>
      <c r="Q257" s="24" t="n"/>
      <c r="R257" s="24" t="n"/>
      <c r="S257" s="27" t="n"/>
      <c r="T257" s="28">
        <f>IF(Q257="","",IF(Q257="SUCCESS",1,0))</f>
        <v/>
      </c>
      <c r="U257" s="29">
        <f>IF(OR(N257="",Q257&lt;&gt;"SUCCESS"),"",N257-SUM(I257:M257))</f>
        <v/>
      </c>
      <c r="V257" s="30">
        <f>IF(OR(N257="",N257=0,L257=""),"",L257/N257)</f>
        <v/>
      </c>
      <c r="W257" s="29">
        <f>IF(OR(N257="",G257="",G257=0),"",N257/(G257/60))</f>
        <v/>
      </c>
    </row>
    <row r="258">
      <c r="A258" s="22" t="n"/>
      <c r="B258" s="23" t="n"/>
      <c r="C258" s="24" t="n"/>
      <c r="D258" s="24" t="n"/>
      <c r="E258" s="24" t="n"/>
      <c r="F258" s="22" t="n"/>
      <c r="G258" s="25" t="n"/>
      <c r="H258" s="26" t="n"/>
      <c r="I258" s="26" t="n"/>
      <c r="J258" s="26" t="n"/>
      <c r="K258" s="26" t="n"/>
      <c r="L258" s="26" t="n"/>
      <c r="M258" s="26" t="n"/>
      <c r="N258" s="26" t="n"/>
      <c r="O258" s="26" t="n"/>
      <c r="P258" s="22" t="n"/>
      <c r="Q258" s="24" t="n"/>
      <c r="R258" s="24" t="n"/>
      <c r="S258" s="27" t="n"/>
      <c r="T258" s="28">
        <f>IF(Q258="","",IF(Q258="SUCCESS",1,0))</f>
        <v/>
      </c>
      <c r="U258" s="29">
        <f>IF(OR(N258="",Q258&lt;&gt;"SUCCESS"),"",N258-SUM(I258:M258))</f>
        <v/>
      </c>
      <c r="V258" s="30">
        <f>IF(OR(N258="",N258=0,L258=""),"",L258/N258)</f>
        <v/>
      </c>
      <c r="W258" s="29">
        <f>IF(OR(N258="",G258="",G258=0),"",N258/(G258/60))</f>
        <v/>
      </c>
    </row>
    <row r="259">
      <c r="A259" s="22" t="n"/>
      <c r="B259" s="23" t="n"/>
      <c r="C259" s="24" t="n"/>
      <c r="D259" s="24" t="n"/>
      <c r="E259" s="24" t="n"/>
      <c r="F259" s="22" t="n"/>
      <c r="G259" s="25" t="n"/>
      <c r="H259" s="26" t="n"/>
      <c r="I259" s="26" t="n"/>
      <c r="J259" s="26" t="n"/>
      <c r="K259" s="26" t="n"/>
      <c r="L259" s="26" t="n"/>
      <c r="M259" s="26" t="n"/>
      <c r="N259" s="26" t="n"/>
      <c r="O259" s="26" t="n"/>
      <c r="P259" s="22" t="n"/>
      <c r="Q259" s="24" t="n"/>
      <c r="R259" s="24" t="n"/>
      <c r="S259" s="27" t="n"/>
      <c r="T259" s="28">
        <f>IF(Q259="","",IF(Q259="SUCCESS",1,0))</f>
        <v/>
      </c>
      <c r="U259" s="29">
        <f>IF(OR(N259="",Q259&lt;&gt;"SUCCESS"),"",N259-SUM(I259:M259))</f>
        <v/>
      </c>
      <c r="V259" s="30">
        <f>IF(OR(N259="",N259=0,L259=""),"",L259/N259)</f>
        <v/>
      </c>
      <c r="W259" s="29">
        <f>IF(OR(N259="",G259="",G259=0),"",N259/(G259/60))</f>
        <v/>
      </c>
    </row>
    <row r="260">
      <c r="A260" s="22" t="n"/>
      <c r="B260" s="23" t="n"/>
      <c r="C260" s="24" t="n"/>
      <c r="D260" s="24" t="n"/>
      <c r="E260" s="24" t="n"/>
      <c r="F260" s="22" t="n"/>
      <c r="G260" s="25" t="n"/>
      <c r="H260" s="26" t="n"/>
      <c r="I260" s="26" t="n"/>
      <c r="J260" s="26" t="n"/>
      <c r="K260" s="26" t="n"/>
      <c r="L260" s="26" t="n"/>
      <c r="M260" s="26" t="n"/>
      <c r="N260" s="26" t="n"/>
      <c r="O260" s="26" t="n"/>
      <c r="P260" s="22" t="n"/>
      <c r="Q260" s="24" t="n"/>
      <c r="R260" s="24" t="n"/>
      <c r="S260" s="27" t="n"/>
      <c r="T260" s="28">
        <f>IF(Q260="","",IF(Q260="SUCCESS",1,0))</f>
        <v/>
      </c>
      <c r="U260" s="29">
        <f>IF(OR(N260="",Q260&lt;&gt;"SUCCESS"),"",N260-SUM(I260:M260))</f>
        <v/>
      </c>
      <c r="V260" s="30">
        <f>IF(OR(N260="",N260=0,L260=""),"",L260/N260)</f>
        <v/>
      </c>
      <c r="W260" s="29">
        <f>IF(OR(N260="",G260="",G260=0),"",N260/(G260/60))</f>
        <v/>
      </c>
    </row>
    <row r="261">
      <c r="A261" s="22" t="n"/>
      <c r="B261" s="23" t="n"/>
      <c r="C261" s="24" t="n"/>
      <c r="D261" s="24" t="n"/>
      <c r="E261" s="24" t="n"/>
      <c r="F261" s="22" t="n"/>
      <c r="G261" s="25" t="n"/>
      <c r="H261" s="26" t="n"/>
      <c r="I261" s="26" t="n"/>
      <c r="J261" s="26" t="n"/>
      <c r="K261" s="26" t="n"/>
      <c r="L261" s="26" t="n"/>
      <c r="M261" s="26" t="n"/>
      <c r="N261" s="26" t="n"/>
      <c r="O261" s="26" t="n"/>
      <c r="P261" s="22" t="n"/>
      <c r="Q261" s="24" t="n"/>
      <c r="R261" s="24" t="n"/>
      <c r="S261" s="27" t="n"/>
      <c r="T261" s="28">
        <f>IF(Q261="","",IF(Q261="SUCCESS",1,0))</f>
        <v/>
      </c>
      <c r="U261" s="29">
        <f>IF(OR(N261="",Q261&lt;&gt;"SUCCESS"),"",N261-SUM(I261:M261))</f>
        <v/>
      </c>
      <c r="V261" s="30">
        <f>IF(OR(N261="",N261=0,L261=""),"",L261/N261)</f>
        <v/>
      </c>
      <c r="W261" s="29">
        <f>IF(OR(N261="",G261="",G261=0),"",N261/(G261/60))</f>
        <v/>
      </c>
    </row>
    <row r="262">
      <c r="A262" s="22" t="n"/>
      <c r="B262" s="23" t="n"/>
      <c r="C262" s="24" t="n"/>
      <c r="D262" s="24" t="n"/>
      <c r="E262" s="24" t="n"/>
      <c r="F262" s="22" t="n"/>
      <c r="G262" s="25" t="n"/>
      <c r="H262" s="26" t="n"/>
      <c r="I262" s="26" t="n"/>
      <c r="J262" s="26" t="n"/>
      <c r="K262" s="26" t="n"/>
      <c r="L262" s="26" t="n"/>
      <c r="M262" s="26" t="n"/>
      <c r="N262" s="26" t="n"/>
      <c r="O262" s="26" t="n"/>
      <c r="P262" s="22" t="n"/>
      <c r="Q262" s="24" t="n"/>
      <c r="R262" s="24" t="n"/>
      <c r="S262" s="27" t="n"/>
      <c r="T262" s="28">
        <f>IF(Q262="","",IF(Q262="SUCCESS",1,0))</f>
        <v/>
      </c>
      <c r="U262" s="29">
        <f>IF(OR(N262="",Q262&lt;&gt;"SUCCESS"),"",N262-SUM(I262:M262))</f>
        <v/>
      </c>
      <c r="V262" s="30">
        <f>IF(OR(N262="",N262=0,L262=""),"",L262/N262)</f>
        <v/>
      </c>
      <c r="W262" s="29">
        <f>IF(OR(N262="",G262="",G262=0),"",N262/(G262/60))</f>
        <v/>
      </c>
    </row>
    <row r="263">
      <c r="A263" s="22" t="n"/>
      <c r="B263" s="23" t="n"/>
      <c r="C263" s="24" t="n"/>
      <c r="D263" s="24" t="n"/>
      <c r="E263" s="24" t="n"/>
      <c r="F263" s="22" t="n"/>
      <c r="G263" s="25" t="n"/>
      <c r="H263" s="26" t="n"/>
      <c r="I263" s="26" t="n"/>
      <c r="J263" s="26" t="n"/>
      <c r="K263" s="26" t="n"/>
      <c r="L263" s="26" t="n"/>
      <c r="M263" s="26" t="n"/>
      <c r="N263" s="26" t="n"/>
      <c r="O263" s="26" t="n"/>
      <c r="P263" s="22" t="n"/>
      <c r="Q263" s="24" t="n"/>
      <c r="R263" s="24" t="n"/>
      <c r="S263" s="27" t="n"/>
      <c r="T263" s="28">
        <f>IF(Q263="","",IF(Q263="SUCCESS",1,0))</f>
        <v/>
      </c>
      <c r="U263" s="29">
        <f>IF(OR(N263="",Q263&lt;&gt;"SUCCESS"),"",N263-SUM(I263:M263))</f>
        <v/>
      </c>
      <c r="V263" s="30">
        <f>IF(OR(N263="",N263=0,L263=""),"",L263/N263)</f>
        <v/>
      </c>
      <c r="W263" s="29">
        <f>IF(OR(N263="",G263="",G263=0),"",N263/(G263/60))</f>
        <v/>
      </c>
    </row>
    <row r="264">
      <c r="A264" s="22" t="n"/>
      <c r="B264" s="23" t="n"/>
      <c r="C264" s="24" t="n"/>
      <c r="D264" s="24" t="n"/>
      <c r="E264" s="24" t="n"/>
      <c r="F264" s="22" t="n"/>
      <c r="G264" s="25" t="n"/>
      <c r="H264" s="26" t="n"/>
      <c r="I264" s="26" t="n"/>
      <c r="J264" s="26" t="n"/>
      <c r="K264" s="26" t="n"/>
      <c r="L264" s="26" t="n"/>
      <c r="M264" s="26" t="n"/>
      <c r="N264" s="26" t="n"/>
      <c r="O264" s="26" t="n"/>
      <c r="P264" s="22" t="n"/>
      <c r="Q264" s="24" t="n"/>
      <c r="R264" s="24" t="n"/>
      <c r="S264" s="27" t="n"/>
      <c r="T264" s="28">
        <f>IF(Q264="","",IF(Q264="SUCCESS",1,0))</f>
        <v/>
      </c>
      <c r="U264" s="29">
        <f>IF(OR(N264="",Q264&lt;&gt;"SUCCESS"),"",N264-SUM(I264:M264))</f>
        <v/>
      </c>
      <c r="V264" s="30">
        <f>IF(OR(N264="",N264=0,L264=""),"",L264/N264)</f>
        <v/>
      </c>
      <c r="W264" s="29">
        <f>IF(OR(N264="",G264="",G264=0),"",N264/(G264/60))</f>
        <v/>
      </c>
    </row>
    <row r="265">
      <c r="A265" s="22" t="n"/>
      <c r="B265" s="23" t="n"/>
      <c r="C265" s="24" t="n"/>
      <c r="D265" s="24" t="n"/>
      <c r="E265" s="24" t="n"/>
      <c r="F265" s="22" t="n"/>
      <c r="G265" s="25" t="n"/>
      <c r="H265" s="26" t="n"/>
      <c r="I265" s="26" t="n"/>
      <c r="J265" s="26" t="n"/>
      <c r="K265" s="26" t="n"/>
      <c r="L265" s="26" t="n"/>
      <c r="M265" s="26" t="n"/>
      <c r="N265" s="26" t="n"/>
      <c r="O265" s="26" t="n"/>
      <c r="P265" s="22" t="n"/>
      <c r="Q265" s="24" t="n"/>
      <c r="R265" s="24" t="n"/>
      <c r="S265" s="27" t="n"/>
      <c r="T265" s="28">
        <f>IF(Q265="","",IF(Q265="SUCCESS",1,0))</f>
        <v/>
      </c>
      <c r="U265" s="29">
        <f>IF(OR(N265="",Q265&lt;&gt;"SUCCESS"),"",N265-SUM(I265:M265))</f>
        <v/>
      </c>
      <c r="V265" s="30">
        <f>IF(OR(N265="",N265=0,L265=""),"",L265/N265)</f>
        <v/>
      </c>
      <c r="W265" s="29">
        <f>IF(OR(N265="",G265="",G265=0),"",N265/(G265/60))</f>
        <v/>
      </c>
    </row>
    <row r="266">
      <c r="A266" s="22" t="n"/>
      <c r="B266" s="23" t="n"/>
      <c r="C266" s="24" t="n"/>
      <c r="D266" s="24" t="n"/>
      <c r="E266" s="24" t="n"/>
      <c r="F266" s="22" t="n"/>
      <c r="G266" s="25" t="n"/>
      <c r="H266" s="26" t="n"/>
      <c r="I266" s="26" t="n"/>
      <c r="J266" s="26" t="n"/>
      <c r="K266" s="26" t="n"/>
      <c r="L266" s="26" t="n"/>
      <c r="M266" s="26" t="n"/>
      <c r="N266" s="26" t="n"/>
      <c r="O266" s="26" t="n"/>
      <c r="P266" s="22" t="n"/>
      <c r="Q266" s="24" t="n"/>
      <c r="R266" s="24" t="n"/>
      <c r="S266" s="27" t="n"/>
      <c r="T266" s="28">
        <f>IF(Q266="","",IF(Q266="SUCCESS",1,0))</f>
        <v/>
      </c>
      <c r="U266" s="29">
        <f>IF(OR(N266="",Q266&lt;&gt;"SUCCESS"),"",N266-SUM(I266:M266))</f>
        <v/>
      </c>
      <c r="V266" s="30">
        <f>IF(OR(N266="",N266=0,L266=""),"",L266/N266)</f>
        <v/>
      </c>
      <c r="W266" s="29">
        <f>IF(OR(N266="",G266="",G266=0),"",N266/(G266/60))</f>
        <v/>
      </c>
    </row>
    <row r="267">
      <c r="A267" s="22" t="n"/>
      <c r="B267" s="23" t="n"/>
      <c r="C267" s="24" t="n"/>
      <c r="D267" s="24" t="n"/>
      <c r="E267" s="24" t="n"/>
      <c r="F267" s="22" t="n"/>
      <c r="G267" s="25" t="n"/>
      <c r="H267" s="26" t="n"/>
      <c r="I267" s="26" t="n"/>
      <c r="J267" s="26" t="n"/>
      <c r="K267" s="26" t="n"/>
      <c r="L267" s="26" t="n"/>
      <c r="M267" s="26" t="n"/>
      <c r="N267" s="26" t="n"/>
      <c r="O267" s="26" t="n"/>
      <c r="P267" s="22" t="n"/>
      <c r="Q267" s="24" t="n"/>
      <c r="R267" s="24" t="n"/>
      <c r="S267" s="27" t="n"/>
      <c r="T267" s="28">
        <f>IF(Q267="","",IF(Q267="SUCCESS",1,0))</f>
        <v/>
      </c>
      <c r="U267" s="29">
        <f>IF(OR(N267="",Q267&lt;&gt;"SUCCESS"),"",N267-SUM(I267:M267))</f>
        <v/>
      </c>
      <c r="V267" s="30">
        <f>IF(OR(N267="",N267=0,L267=""),"",L267/N267)</f>
        <v/>
      </c>
      <c r="W267" s="29">
        <f>IF(OR(N267="",G267="",G267=0),"",N267/(G267/60))</f>
        <v/>
      </c>
    </row>
    <row r="268">
      <c r="A268" s="22" t="n"/>
      <c r="B268" s="23" t="n"/>
      <c r="C268" s="24" t="n"/>
      <c r="D268" s="24" t="n"/>
      <c r="E268" s="24" t="n"/>
      <c r="F268" s="22" t="n"/>
      <c r="G268" s="25" t="n"/>
      <c r="H268" s="26" t="n"/>
      <c r="I268" s="26" t="n"/>
      <c r="J268" s="26" t="n"/>
      <c r="K268" s="26" t="n"/>
      <c r="L268" s="26" t="n"/>
      <c r="M268" s="26" t="n"/>
      <c r="N268" s="26" t="n"/>
      <c r="O268" s="26" t="n"/>
      <c r="P268" s="22" t="n"/>
      <c r="Q268" s="24" t="n"/>
      <c r="R268" s="24" t="n"/>
      <c r="S268" s="27" t="n"/>
      <c r="T268" s="28">
        <f>IF(Q268="","",IF(Q268="SUCCESS",1,0))</f>
        <v/>
      </c>
      <c r="U268" s="29">
        <f>IF(OR(N268="",Q268&lt;&gt;"SUCCESS"),"",N268-SUM(I268:M268))</f>
        <v/>
      </c>
      <c r="V268" s="30">
        <f>IF(OR(N268="",N268=0,L268=""),"",L268/N268)</f>
        <v/>
      </c>
      <c r="W268" s="29">
        <f>IF(OR(N268="",G268="",G268=0),"",N268/(G268/60))</f>
        <v/>
      </c>
    </row>
    <row r="269">
      <c r="A269" s="22" t="n"/>
      <c r="B269" s="23" t="n"/>
      <c r="C269" s="24" t="n"/>
      <c r="D269" s="24" t="n"/>
      <c r="E269" s="24" t="n"/>
      <c r="F269" s="22" t="n"/>
      <c r="G269" s="25" t="n"/>
      <c r="H269" s="26" t="n"/>
      <c r="I269" s="26" t="n"/>
      <c r="J269" s="26" t="n"/>
      <c r="K269" s="26" t="n"/>
      <c r="L269" s="26" t="n"/>
      <c r="M269" s="26" t="n"/>
      <c r="N269" s="26" t="n"/>
      <c r="O269" s="26" t="n"/>
      <c r="P269" s="22" t="n"/>
      <c r="Q269" s="24" t="n"/>
      <c r="R269" s="24" t="n"/>
      <c r="S269" s="27" t="n"/>
      <c r="T269" s="28">
        <f>IF(Q269="","",IF(Q269="SUCCESS",1,0))</f>
        <v/>
      </c>
      <c r="U269" s="29">
        <f>IF(OR(N269="",Q269&lt;&gt;"SUCCESS"),"",N269-SUM(I269:M269))</f>
        <v/>
      </c>
      <c r="V269" s="30">
        <f>IF(OR(N269="",N269=0,L269=""),"",L269/N269)</f>
        <v/>
      </c>
      <c r="W269" s="29">
        <f>IF(OR(N269="",G269="",G269=0),"",N269/(G269/60))</f>
        <v/>
      </c>
    </row>
    <row r="270">
      <c r="A270" s="22" t="n"/>
      <c r="B270" s="23" t="n"/>
      <c r="C270" s="24" t="n"/>
      <c r="D270" s="24" t="n"/>
      <c r="E270" s="24" t="n"/>
      <c r="F270" s="22" t="n"/>
      <c r="G270" s="25" t="n"/>
      <c r="H270" s="26" t="n"/>
      <c r="I270" s="26" t="n"/>
      <c r="J270" s="26" t="n"/>
      <c r="K270" s="26" t="n"/>
      <c r="L270" s="26" t="n"/>
      <c r="M270" s="26" t="n"/>
      <c r="N270" s="26" t="n"/>
      <c r="O270" s="26" t="n"/>
      <c r="P270" s="22" t="n"/>
      <c r="Q270" s="24" t="n"/>
      <c r="R270" s="24" t="n"/>
      <c r="S270" s="27" t="n"/>
      <c r="T270" s="28">
        <f>IF(Q270="","",IF(Q270="SUCCESS",1,0))</f>
        <v/>
      </c>
      <c r="U270" s="29">
        <f>IF(OR(N270="",Q270&lt;&gt;"SUCCESS"),"",N270-SUM(I270:M270))</f>
        <v/>
      </c>
      <c r="V270" s="30">
        <f>IF(OR(N270="",N270=0,L270=""),"",L270/N270)</f>
        <v/>
      </c>
      <c r="W270" s="29">
        <f>IF(OR(N270="",G270="",G270=0),"",N270/(G270/60))</f>
        <v/>
      </c>
    </row>
    <row r="271">
      <c r="A271" s="22" t="n"/>
      <c r="B271" s="23" t="n"/>
      <c r="C271" s="24" t="n"/>
      <c r="D271" s="24" t="n"/>
      <c r="E271" s="24" t="n"/>
      <c r="F271" s="22" t="n"/>
      <c r="G271" s="25" t="n"/>
      <c r="H271" s="26" t="n"/>
      <c r="I271" s="26" t="n"/>
      <c r="J271" s="26" t="n"/>
      <c r="K271" s="26" t="n"/>
      <c r="L271" s="26" t="n"/>
      <c r="M271" s="26" t="n"/>
      <c r="N271" s="26" t="n"/>
      <c r="O271" s="26" t="n"/>
      <c r="P271" s="22" t="n"/>
      <c r="Q271" s="24" t="n"/>
      <c r="R271" s="24" t="n"/>
      <c r="S271" s="27" t="n"/>
      <c r="T271" s="28">
        <f>IF(Q271="","",IF(Q271="SUCCESS",1,0))</f>
        <v/>
      </c>
      <c r="U271" s="29">
        <f>IF(OR(N271="",Q271&lt;&gt;"SUCCESS"),"",N271-SUM(I271:M271))</f>
        <v/>
      </c>
      <c r="V271" s="30">
        <f>IF(OR(N271="",N271=0,L271=""),"",L271/N271)</f>
        <v/>
      </c>
      <c r="W271" s="29">
        <f>IF(OR(N271="",G271="",G271=0),"",N271/(G271/60))</f>
        <v/>
      </c>
    </row>
    <row r="272">
      <c r="A272" s="22" t="n"/>
      <c r="B272" s="23" t="n"/>
      <c r="C272" s="24" t="n"/>
      <c r="D272" s="24" t="n"/>
      <c r="E272" s="24" t="n"/>
      <c r="F272" s="22" t="n"/>
      <c r="G272" s="25" t="n"/>
      <c r="H272" s="26" t="n"/>
      <c r="I272" s="26" t="n"/>
      <c r="J272" s="26" t="n"/>
      <c r="K272" s="26" t="n"/>
      <c r="L272" s="26" t="n"/>
      <c r="M272" s="26" t="n"/>
      <c r="N272" s="26" t="n"/>
      <c r="O272" s="26" t="n"/>
      <c r="P272" s="22" t="n"/>
      <c r="Q272" s="24" t="n"/>
      <c r="R272" s="24" t="n"/>
      <c r="S272" s="27" t="n"/>
      <c r="T272" s="28">
        <f>IF(Q272="","",IF(Q272="SUCCESS",1,0))</f>
        <v/>
      </c>
      <c r="U272" s="29">
        <f>IF(OR(N272="",Q272&lt;&gt;"SUCCESS"),"",N272-SUM(I272:M272))</f>
        <v/>
      </c>
      <c r="V272" s="30">
        <f>IF(OR(N272="",N272=0,L272=""),"",L272/N272)</f>
        <v/>
      </c>
      <c r="W272" s="29">
        <f>IF(OR(N272="",G272="",G272=0),"",N272/(G272/60))</f>
        <v/>
      </c>
    </row>
    <row r="273">
      <c r="A273" s="22" t="n"/>
      <c r="B273" s="23" t="n"/>
      <c r="C273" s="24" t="n"/>
      <c r="D273" s="24" t="n"/>
      <c r="E273" s="24" t="n"/>
      <c r="F273" s="22" t="n"/>
      <c r="G273" s="25" t="n"/>
      <c r="H273" s="26" t="n"/>
      <c r="I273" s="26" t="n"/>
      <c r="J273" s="26" t="n"/>
      <c r="K273" s="26" t="n"/>
      <c r="L273" s="26" t="n"/>
      <c r="M273" s="26" t="n"/>
      <c r="N273" s="26" t="n"/>
      <c r="O273" s="26" t="n"/>
      <c r="P273" s="22" t="n"/>
      <c r="Q273" s="24" t="n"/>
      <c r="R273" s="24" t="n"/>
      <c r="S273" s="27" t="n"/>
      <c r="T273" s="28">
        <f>IF(Q273="","",IF(Q273="SUCCESS",1,0))</f>
        <v/>
      </c>
      <c r="U273" s="29">
        <f>IF(OR(N273="",Q273&lt;&gt;"SUCCESS"),"",N273-SUM(I273:M273))</f>
        <v/>
      </c>
      <c r="V273" s="30">
        <f>IF(OR(N273="",N273=0,L273=""),"",L273/N273)</f>
        <v/>
      </c>
      <c r="W273" s="29">
        <f>IF(OR(N273="",G273="",G273=0),"",N273/(G273/60))</f>
        <v/>
      </c>
    </row>
    <row r="274">
      <c r="A274" s="22" t="n"/>
      <c r="B274" s="23" t="n"/>
      <c r="C274" s="24" t="n"/>
      <c r="D274" s="24" t="n"/>
      <c r="E274" s="24" t="n"/>
      <c r="F274" s="22" t="n"/>
      <c r="G274" s="25" t="n"/>
      <c r="H274" s="26" t="n"/>
      <c r="I274" s="26" t="n"/>
      <c r="J274" s="26" t="n"/>
      <c r="K274" s="26" t="n"/>
      <c r="L274" s="26" t="n"/>
      <c r="M274" s="26" t="n"/>
      <c r="N274" s="26" t="n"/>
      <c r="O274" s="26" t="n"/>
      <c r="P274" s="22" t="n"/>
      <c r="Q274" s="24" t="n"/>
      <c r="R274" s="24" t="n"/>
      <c r="S274" s="27" t="n"/>
      <c r="T274" s="28">
        <f>IF(Q274="","",IF(Q274="SUCCESS",1,0))</f>
        <v/>
      </c>
      <c r="U274" s="29">
        <f>IF(OR(N274="",Q274&lt;&gt;"SUCCESS"),"",N274-SUM(I274:M274))</f>
        <v/>
      </c>
      <c r="V274" s="30">
        <f>IF(OR(N274="",N274=0,L274=""),"",L274/N274)</f>
        <v/>
      </c>
      <c r="W274" s="29">
        <f>IF(OR(N274="",G274="",G274=0),"",N274/(G274/60))</f>
        <v/>
      </c>
    </row>
    <row r="275">
      <c r="A275" s="22" t="n"/>
      <c r="B275" s="23" t="n"/>
      <c r="C275" s="24" t="n"/>
      <c r="D275" s="24" t="n"/>
      <c r="E275" s="24" t="n"/>
      <c r="F275" s="22" t="n"/>
      <c r="G275" s="25" t="n"/>
      <c r="H275" s="26" t="n"/>
      <c r="I275" s="26" t="n"/>
      <c r="J275" s="26" t="n"/>
      <c r="K275" s="26" t="n"/>
      <c r="L275" s="26" t="n"/>
      <c r="M275" s="26" t="n"/>
      <c r="N275" s="26" t="n"/>
      <c r="O275" s="26" t="n"/>
      <c r="P275" s="22" t="n"/>
      <c r="Q275" s="24" t="n"/>
      <c r="R275" s="24" t="n"/>
      <c r="S275" s="27" t="n"/>
      <c r="T275" s="28">
        <f>IF(Q275="","",IF(Q275="SUCCESS",1,0))</f>
        <v/>
      </c>
      <c r="U275" s="29">
        <f>IF(OR(N275="",Q275&lt;&gt;"SUCCESS"),"",N275-SUM(I275:M275))</f>
        <v/>
      </c>
      <c r="V275" s="30">
        <f>IF(OR(N275="",N275=0,L275=""),"",L275/N275)</f>
        <v/>
      </c>
      <c r="W275" s="29">
        <f>IF(OR(N275="",G275="",G275=0),"",N275/(G275/60))</f>
        <v/>
      </c>
    </row>
    <row r="276">
      <c r="A276" s="22" t="n"/>
      <c r="B276" s="23" t="n"/>
      <c r="C276" s="24" t="n"/>
      <c r="D276" s="24" t="n"/>
      <c r="E276" s="24" t="n"/>
      <c r="F276" s="22" t="n"/>
      <c r="G276" s="25" t="n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2" t="n"/>
      <c r="Q276" s="24" t="n"/>
      <c r="R276" s="24" t="n"/>
      <c r="S276" s="27" t="n"/>
      <c r="T276" s="28">
        <f>IF(Q276="","",IF(Q276="SUCCESS",1,0))</f>
        <v/>
      </c>
      <c r="U276" s="29">
        <f>IF(OR(N276="",Q276&lt;&gt;"SUCCESS"),"",N276-SUM(I276:M276))</f>
        <v/>
      </c>
      <c r="V276" s="30">
        <f>IF(OR(N276="",N276=0,L276=""),"",L276/N276)</f>
        <v/>
      </c>
      <c r="W276" s="29">
        <f>IF(OR(N276="",G276="",G276=0),"",N276/(G276/60))</f>
        <v/>
      </c>
    </row>
    <row r="277">
      <c r="A277" s="22" t="n"/>
      <c r="B277" s="23" t="n"/>
      <c r="C277" s="24" t="n"/>
      <c r="D277" s="24" t="n"/>
      <c r="E277" s="24" t="n"/>
      <c r="F277" s="22" t="n"/>
      <c r="G277" s="25" t="n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2" t="n"/>
      <c r="Q277" s="24" t="n"/>
      <c r="R277" s="24" t="n"/>
      <c r="S277" s="27" t="n"/>
      <c r="T277" s="28">
        <f>IF(Q277="","",IF(Q277="SUCCESS",1,0))</f>
        <v/>
      </c>
      <c r="U277" s="29">
        <f>IF(OR(N277="",Q277&lt;&gt;"SUCCESS"),"",N277-SUM(I277:M277))</f>
        <v/>
      </c>
      <c r="V277" s="30">
        <f>IF(OR(N277="",N277=0,L277=""),"",L277/N277)</f>
        <v/>
      </c>
      <c r="W277" s="29">
        <f>IF(OR(N277="",G277="",G277=0),"",N277/(G277/60))</f>
        <v/>
      </c>
    </row>
    <row r="278">
      <c r="A278" s="22" t="n"/>
      <c r="B278" s="23" t="n"/>
      <c r="C278" s="24" t="n"/>
      <c r="D278" s="24" t="n"/>
      <c r="E278" s="24" t="n"/>
      <c r="F278" s="22" t="n"/>
      <c r="G278" s="25" t="n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2" t="n"/>
      <c r="Q278" s="24" t="n"/>
      <c r="R278" s="24" t="n"/>
      <c r="S278" s="27" t="n"/>
      <c r="T278" s="28">
        <f>IF(Q278="","",IF(Q278="SUCCESS",1,0))</f>
        <v/>
      </c>
      <c r="U278" s="29">
        <f>IF(OR(N278="",Q278&lt;&gt;"SUCCESS"),"",N278-SUM(I278:M278))</f>
        <v/>
      </c>
      <c r="V278" s="30">
        <f>IF(OR(N278="",N278=0,L278=""),"",L278/N278)</f>
        <v/>
      </c>
      <c r="W278" s="29">
        <f>IF(OR(N278="",G278="",G278=0),"",N278/(G278/60))</f>
        <v/>
      </c>
    </row>
    <row r="279">
      <c r="A279" s="22" t="n"/>
      <c r="B279" s="23" t="n"/>
      <c r="C279" s="24" t="n"/>
      <c r="D279" s="24" t="n"/>
      <c r="E279" s="24" t="n"/>
      <c r="F279" s="22" t="n"/>
      <c r="G279" s="25" t="n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2" t="n"/>
      <c r="Q279" s="24" t="n"/>
      <c r="R279" s="24" t="n"/>
      <c r="S279" s="27" t="n"/>
      <c r="T279" s="28">
        <f>IF(Q279="","",IF(Q279="SUCCESS",1,0))</f>
        <v/>
      </c>
      <c r="U279" s="29">
        <f>IF(OR(N279="",Q279&lt;&gt;"SUCCESS"),"",N279-SUM(I279:M279))</f>
        <v/>
      </c>
      <c r="V279" s="30">
        <f>IF(OR(N279="",N279=0,L279=""),"",L279/N279)</f>
        <v/>
      </c>
      <c r="W279" s="29">
        <f>IF(OR(N279="",G279="",G279=0),"",N279/(G279/60))</f>
        <v/>
      </c>
    </row>
    <row r="280">
      <c r="A280" s="22" t="n"/>
      <c r="B280" s="23" t="n"/>
      <c r="C280" s="24" t="n"/>
      <c r="D280" s="24" t="n"/>
      <c r="E280" s="24" t="n"/>
      <c r="F280" s="22" t="n"/>
      <c r="G280" s="25" t="n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2" t="n"/>
      <c r="Q280" s="24" t="n"/>
      <c r="R280" s="24" t="n"/>
      <c r="S280" s="27" t="n"/>
      <c r="T280" s="28">
        <f>IF(Q280="","",IF(Q280="SUCCESS",1,0))</f>
        <v/>
      </c>
      <c r="U280" s="29">
        <f>IF(OR(N280="",Q280&lt;&gt;"SUCCESS"),"",N280-SUM(I280:M280))</f>
        <v/>
      </c>
      <c r="V280" s="30">
        <f>IF(OR(N280="",N280=0,L280=""),"",L280/N280)</f>
        <v/>
      </c>
      <c r="W280" s="29">
        <f>IF(OR(N280="",G280="",G280=0),"",N280/(G280/60))</f>
        <v/>
      </c>
    </row>
    <row r="281">
      <c r="A281" s="22" t="n"/>
      <c r="B281" s="23" t="n"/>
      <c r="C281" s="24" t="n"/>
      <c r="D281" s="24" t="n"/>
      <c r="E281" s="24" t="n"/>
      <c r="F281" s="22" t="n"/>
      <c r="G281" s="25" t="n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2" t="n"/>
      <c r="Q281" s="24" t="n"/>
      <c r="R281" s="24" t="n"/>
      <c r="S281" s="27" t="n"/>
      <c r="T281" s="28">
        <f>IF(Q281="","",IF(Q281="SUCCESS",1,0))</f>
        <v/>
      </c>
      <c r="U281" s="29">
        <f>IF(OR(N281="",Q281&lt;&gt;"SUCCESS"),"",N281-SUM(I281:M281))</f>
        <v/>
      </c>
      <c r="V281" s="30">
        <f>IF(OR(N281="",N281=0,L281=""),"",L281/N281)</f>
        <v/>
      </c>
      <c r="W281" s="29">
        <f>IF(OR(N281="",G281="",G281=0),"",N281/(G281/60))</f>
        <v/>
      </c>
    </row>
    <row r="282">
      <c r="A282" s="22" t="n"/>
      <c r="B282" s="23" t="n"/>
      <c r="C282" s="24" t="n"/>
      <c r="D282" s="24" t="n"/>
      <c r="E282" s="24" t="n"/>
      <c r="F282" s="22" t="n"/>
      <c r="G282" s="25" t="n"/>
      <c r="H282" s="26" t="n"/>
      <c r="I282" s="26" t="n"/>
      <c r="J282" s="26" t="n"/>
      <c r="K282" s="26" t="n"/>
      <c r="L282" s="26" t="n"/>
      <c r="M282" s="26" t="n"/>
      <c r="N282" s="26" t="n"/>
      <c r="O282" s="26" t="n"/>
      <c r="P282" s="22" t="n"/>
      <c r="Q282" s="24" t="n"/>
      <c r="R282" s="24" t="n"/>
      <c r="S282" s="27" t="n"/>
      <c r="T282" s="28">
        <f>IF(Q282="","",IF(Q282="SUCCESS",1,0))</f>
        <v/>
      </c>
      <c r="U282" s="29">
        <f>IF(OR(N282="",Q282&lt;&gt;"SUCCESS"),"",N282-SUM(I282:M282))</f>
        <v/>
      </c>
      <c r="V282" s="30">
        <f>IF(OR(N282="",N282=0,L282=""),"",L282/N282)</f>
        <v/>
      </c>
      <c r="W282" s="29">
        <f>IF(OR(N282="",G282="",G282=0),"",N282/(G282/60))</f>
        <v/>
      </c>
    </row>
    <row r="283">
      <c r="A283" s="22" t="n"/>
      <c r="B283" s="23" t="n"/>
      <c r="C283" s="24" t="n"/>
      <c r="D283" s="24" t="n"/>
      <c r="E283" s="24" t="n"/>
      <c r="F283" s="22" t="n"/>
      <c r="G283" s="25" t="n"/>
      <c r="H283" s="26" t="n"/>
      <c r="I283" s="26" t="n"/>
      <c r="J283" s="26" t="n"/>
      <c r="K283" s="26" t="n"/>
      <c r="L283" s="26" t="n"/>
      <c r="M283" s="26" t="n"/>
      <c r="N283" s="26" t="n"/>
      <c r="O283" s="26" t="n"/>
      <c r="P283" s="22" t="n"/>
      <c r="Q283" s="24" t="n"/>
      <c r="R283" s="24" t="n"/>
      <c r="S283" s="27" t="n"/>
      <c r="T283" s="28">
        <f>IF(Q283="","",IF(Q283="SUCCESS",1,0))</f>
        <v/>
      </c>
      <c r="U283" s="29">
        <f>IF(OR(N283="",Q283&lt;&gt;"SUCCESS"),"",N283-SUM(I283:M283))</f>
        <v/>
      </c>
      <c r="V283" s="30">
        <f>IF(OR(N283="",N283=0,L283=""),"",L283/N283)</f>
        <v/>
      </c>
      <c r="W283" s="29">
        <f>IF(OR(N283="",G283="",G283=0),"",N283/(G283/60))</f>
        <v/>
      </c>
    </row>
    <row r="284">
      <c r="A284" s="22" t="n"/>
      <c r="B284" s="23" t="n"/>
      <c r="C284" s="24" t="n"/>
      <c r="D284" s="24" t="n"/>
      <c r="E284" s="24" t="n"/>
      <c r="F284" s="22" t="n"/>
      <c r="G284" s="25" t="n"/>
      <c r="H284" s="26" t="n"/>
      <c r="I284" s="26" t="n"/>
      <c r="J284" s="26" t="n"/>
      <c r="K284" s="26" t="n"/>
      <c r="L284" s="26" t="n"/>
      <c r="M284" s="26" t="n"/>
      <c r="N284" s="26" t="n"/>
      <c r="O284" s="26" t="n"/>
      <c r="P284" s="22" t="n"/>
      <c r="Q284" s="24" t="n"/>
      <c r="R284" s="24" t="n"/>
      <c r="S284" s="27" t="n"/>
      <c r="T284" s="28">
        <f>IF(Q284="","",IF(Q284="SUCCESS",1,0))</f>
        <v/>
      </c>
      <c r="U284" s="29">
        <f>IF(OR(N284="",Q284&lt;&gt;"SUCCESS"),"",N284-SUM(I284:M284))</f>
        <v/>
      </c>
      <c r="V284" s="30">
        <f>IF(OR(N284="",N284=0,L284=""),"",L284/N284)</f>
        <v/>
      </c>
      <c r="W284" s="29">
        <f>IF(OR(N284="",G284="",G284=0),"",N284/(G284/60))</f>
        <v/>
      </c>
    </row>
    <row r="285">
      <c r="A285" s="22" t="n"/>
      <c r="B285" s="23" t="n"/>
      <c r="C285" s="24" t="n"/>
      <c r="D285" s="24" t="n"/>
      <c r="E285" s="24" t="n"/>
      <c r="F285" s="22" t="n"/>
      <c r="G285" s="25" t="n"/>
      <c r="H285" s="26" t="n"/>
      <c r="I285" s="26" t="n"/>
      <c r="J285" s="26" t="n"/>
      <c r="K285" s="26" t="n"/>
      <c r="L285" s="26" t="n"/>
      <c r="M285" s="26" t="n"/>
      <c r="N285" s="26" t="n"/>
      <c r="O285" s="26" t="n"/>
      <c r="P285" s="22" t="n"/>
      <c r="Q285" s="24" t="n"/>
      <c r="R285" s="24" t="n"/>
      <c r="S285" s="27" t="n"/>
      <c r="T285" s="28">
        <f>IF(Q285="","",IF(Q285="SUCCESS",1,0))</f>
        <v/>
      </c>
      <c r="U285" s="29">
        <f>IF(OR(N285="",Q285&lt;&gt;"SUCCESS"),"",N285-SUM(I285:M285))</f>
        <v/>
      </c>
      <c r="V285" s="30">
        <f>IF(OR(N285="",N285=0,L285=""),"",L285/N285)</f>
        <v/>
      </c>
      <c r="W285" s="29">
        <f>IF(OR(N285="",G285="",G285=0),"",N285/(G285/60))</f>
        <v/>
      </c>
    </row>
    <row r="286">
      <c r="A286" s="22" t="n"/>
      <c r="B286" s="23" t="n"/>
      <c r="C286" s="24" t="n"/>
      <c r="D286" s="24" t="n"/>
      <c r="E286" s="24" t="n"/>
      <c r="F286" s="22" t="n"/>
      <c r="G286" s="25" t="n"/>
      <c r="H286" s="26" t="n"/>
      <c r="I286" s="26" t="n"/>
      <c r="J286" s="26" t="n"/>
      <c r="K286" s="26" t="n"/>
      <c r="L286" s="26" t="n"/>
      <c r="M286" s="26" t="n"/>
      <c r="N286" s="26" t="n"/>
      <c r="O286" s="26" t="n"/>
      <c r="P286" s="22" t="n"/>
      <c r="Q286" s="24" t="n"/>
      <c r="R286" s="24" t="n"/>
      <c r="S286" s="27" t="n"/>
      <c r="T286" s="28">
        <f>IF(Q286="","",IF(Q286="SUCCESS",1,0))</f>
        <v/>
      </c>
      <c r="U286" s="29">
        <f>IF(OR(N286="",Q286&lt;&gt;"SUCCESS"),"",N286-SUM(I286:M286))</f>
        <v/>
      </c>
      <c r="V286" s="30">
        <f>IF(OR(N286="",N286=0,L286=""),"",L286/N286)</f>
        <v/>
      </c>
      <c r="W286" s="29">
        <f>IF(OR(N286="",G286="",G286=0),"",N286/(G286/60))</f>
        <v/>
      </c>
    </row>
    <row r="287">
      <c r="A287" s="22" t="n"/>
      <c r="B287" s="23" t="n"/>
      <c r="C287" s="24" t="n"/>
      <c r="D287" s="24" t="n"/>
      <c r="E287" s="24" t="n"/>
      <c r="F287" s="22" t="n"/>
      <c r="G287" s="25" t="n"/>
      <c r="H287" s="26" t="n"/>
      <c r="I287" s="26" t="n"/>
      <c r="J287" s="26" t="n"/>
      <c r="K287" s="26" t="n"/>
      <c r="L287" s="26" t="n"/>
      <c r="M287" s="26" t="n"/>
      <c r="N287" s="26" t="n"/>
      <c r="O287" s="26" t="n"/>
      <c r="P287" s="22" t="n"/>
      <c r="Q287" s="24" t="n"/>
      <c r="R287" s="24" t="n"/>
      <c r="S287" s="27" t="n"/>
      <c r="T287" s="28">
        <f>IF(Q287="","",IF(Q287="SUCCESS",1,0))</f>
        <v/>
      </c>
      <c r="U287" s="29">
        <f>IF(OR(N287="",Q287&lt;&gt;"SUCCESS"),"",N287-SUM(I287:M287))</f>
        <v/>
      </c>
      <c r="V287" s="30">
        <f>IF(OR(N287="",N287=0,L287=""),"",L287/N287)</f>
        <v/>
      </c>
      <c r="W287" s="29">
        <f>IF(OR(N287="",G287="",G287=0),"",N287/(G287/60))</f>
        <v/>
      </c>
    </row>
    <row r="288">
      <c r="A288" s="22" t="n"/>
      <c r="B288" s="23" t="n"/>
      <c r="C288" s="24" t="n"/>
      <c r="D288" s="24" t="n"/>
      <c r="E288" s="24" t="n"/>
      <c r="F288" s="22" t="n"/>
      <c r="G288" s="25" t="n"/>
      <c r="H288" s="26" t="n"/>
      <c r="I288" s="26" t="n"/>
      <c r="J288" s="26" t="n"/>
      <c r="K288" s="26" t="n"/>
      <c r="L288" s="26" t="n"/>
      <c r="M288" s="26" t="n"/>
      <c r="N288" s="26" t="n"/>
      <c r="O288" s="26" t="n"/>
      <c r="P288" s="22" t="n"/>
      <c r="Q288" s="24" t="n"/>
      <c r="R288" s="24" t="n"/>
      <c r="S288" s="27" t="n"/>
      <c r="T288" s="28">
        <f>IF(Q288="","",IF(Q288="SUCCESS",1,0))</f>
        <v/>
      </c>
      <c r="U288" s="29">
        <f>IF(OR(N288="",Q288&lt;&gt;"SUCCESS"),"",N288-SUM(I288:M288))</f>
        <v/>
      </c>
      <c r="V288" s="30">
        <f>IF(OR(N288="",N288=0,L288=""),"",L288/N288)</f>
        <v/>
      </c>
      <c r="W288" s="29">
        <f>IF(OR(N288="",G288="",G288=0),"",N288/(G288/60))</f>
        <v/>
      </c>
    </row>
    <row r="289">
      <c r="A289" s="22" t="n"/>
      <c r="B289" s="23" t="n"/>
      <c r="C289" s="24" t="n"/>
      <c r="D289" s="24" t="n"/>
      <c r="E289" s="24" t="n"/>
      <c r="F289" s="22" t="n"/>
      <c r="G289" s="25" t="n"/>
      <c r="H289" s="26" t="n"/>
      <c r="I289" s="26" t="n"/>
      <c r="J289" s="26" t="n"/>
      <c r="K289" s="26" t="n"/>
      <c r="L289" s="26" t="n"/>
      <c r="M289" s="26" t="n"/>
      <c r="N289" s="26" t="n"/>
      <c r="O289" s="26" t="n"/>
      <c r="P289" s="22" t="n"/>
      <c r="Q289" s="24" t="n"/>
      <c r="R289" s="24" t="n"/>
      <c r="S289" s="27" t="n"/>
      <c r="T289" s="28">
        <f>IF(Q289="","",IF(Q289="SUCCESS",1,0))</f>
        <v/>
      </c>
      <c r="U289" s="29">
        <f>IF(OR(N289="",Q289&lt;&gt;"SUCCESS"),"",N289-SUM(I289:M289))</f>
        <v/>
      </c>
      <c r="V289" s="30">
        <f>IF(OR(N289="",N289=0,L289=""),"",L289/N289)</f>
        <v/>
      </c>
      <c r="W289" s="29">
        <f>IF(OR(N289="",G289="",G289=0),"",N289/(G289/60))</f>
        <v/>
      </c>
    </row>
    <row r="290">
      <c r="A290" s="22" t="n"/>
      <c r="B290" s="23" t="n"/>
      <c r="C290" s="24" t="n"/>
      <c r="D290" s="24" t="n"/>
      <c r="E290" s="24" t="n"/>
      <c r="F290" s="22" t="n"/>
      <c r="G290" s="25" t="n"/>
      <c r="H290" s="26" t="n"/>
      <c r="I290" s="26" t="n"/>
      <c r="J290" s="26" t="n"/>
      <c r="K290" s="26" t="n"/>
      <c r="L290" s="26" t="n"/>
      <c r="M290" s="26" t="n"/>
      <c r="N290" s="26" t="n"/>
      <c r="O290" s="26" t="n"/>
      <c r="P290" s="22" t="n"/>
      <c r="Q290" s="24" t="n"/>
      <c r="R290" s="24" t="n"/>
      <c r="S290" s="27" t="n"/>
      <c r="T290" s="28">
        <f>IF(Q290="","",IF(Q290="SUCCESS",1,0))</f>
        <v/>
      </c>
      <c r="U290" s="29">
        <f>IF(OR(N290="",Q290&lt;&gt;"SUCCESS"),"",N290-SUM(I290:M290))</f>
        <v/>
      </c>
      <c r="V290" s="30">
        <f>IF(OR(N290="",N290=0,L290=""),"",L290/N290)</f>
        <v/>
      </c>
      <c r="W290" s="29">
        <f>IF(OR(N290="",G290="",G290=0),"",N290/(G290/60))</f>
        <v/>
      </c>
    </row>
    <row r="291">
      <c r="A291" s="22" t="n"/>
      <c r="B291" s="23" t="n"/>
      <c r="C291" s="24" t="n"/>
      <c r="D291" s="24" t="n"/>
      <c r="E291" s="24" t="n"/>
      <c r="F291" s="22" t="n"/>
      <c r="G291" s="25" t="n"/>
      <c r="H291" s="26" t="n"/>
      <c r="I291" s="26" t="n"/>
      <c r="J291" s="26" t="n"/>
      <c r="K291" s="26" t="n"/>
      <c r="L291" s="26" t="n"/>
      <c r="M291" s="26" t="n"/>
      <c r="N291" s="26" t="n"/>
      <c r="O291" s="26" t="n"/>
      <c r="P291" s="22" t="n"/>
      <c r="Q291" s="24" t="n"/>
      <c r="R291" s="24" t="n"/>
      <c r="S291" s="27" t="n"/>
      <c r="T291" s="28">
        <f>IF(Q291="","",IF(Q291="SUCCESS",1,0))</f>
        <v/>
      </c>
      <c r="U291" s="29">
        <f>IF(OR(N291="",Q291&lt;&gt;"SUCCESS"),"",N291-SUM(I291:M291))</f>
        <v/>
      </c>
      <c r="V291" s="30">
        <f>IF(OR(N291="",N291=0,L291=""),"",L291/N291)</f>
        <v/>
      </c>
      <c r="W291" s="29">
        <f>IF(OR(N291="",G291="",G291=0),"",N291/(G291/60))</f>
        <v/>
      </c>
    </row>
    <row r="292">
      <c r="A292" s="22" t="n"/>
      <c r="B292" s="23" t="n"/>
      <c r="C292" s="24" t="n"/>
      <c r="D292" s="24" t="n"/>
      <c r="E292" s="24" t="n"/>
      <c r="F292" s="22" t="n"/>
      <c r="G292" s="25" t="n"/>
      <c r="H292" s="26" t="n"/>
      <c r="I292" s="26" t="n"/>
      <c r="J292" s="26" t="n"/>
      <c r="K292" s="26" t="n"/>
      <c r="L292" s="26" t="n"/>
      <c r="M292" s="26" t="n"/>
      <c r="N292" s="26" t="n"/>
      <c r="O292" s="26" t="n"/>
      <c r="P292" s="22" t="n"/>
      <c r="Q292" s="24" t="n"/>
      <c r="R292" s="24" t="n"/>
      <c r="S292" s="27" t="n"/>
      <c r="T292" s="28">
        <f>IF(Q292="","",IF(Q292="SUCCESS",1,0))</f>
        <v/>
      </c>
      <c r="U292" s="29">
        <f>IF(OR(N292="",Q292&lt;&gt;"SUCCESS"),"",N292-SUM(I292:M292))</f>
        <v/>
      </c>
      <c r="V292" s="30">
        <f>IF(OR(N292="",N292=0,L292=""),"",L292/N292)</f>
        <v/>
      </c>
      <c r="W292" s="29">
        <f>IF(OR(N292="",G292="",G292=0),"",N292/(G292/60))</f>
        <v/>
      </c>
    </row>
    <row r="293">
      <c r="A293" s="22" t="n"/>
      <c r="B293" s="23" t="n"/>
      <c r="C293" s="24" t="n"/>
      <c r="D293" s="24" t="n"/>
      <c r="E293" s="24" t="n"/>
      <c r="F293" s="22" t="n"/>
      <c r="G293" s="25" t="n"/>
      <c r="H293" s="26" t="n"/>
      <c r="I293" s="26" t="n"/>
      <c r="J293" s="26" t="n"/>
      <c r="K293" s="26" t="n"/>
      <c r="L293" s="26" t="n"/>
      <c r="M293" s="26" t="n"/>
      <c r="N293" s="26" t="n"/>
      <c r="O293" s="26" t="n"/>
      <c r="P293" s="22" t="n"/>
      <c r="Q293" s="24" t="n"/>
      <c r="R293" s="24" t="n"/>
      <c r="S293" s="27" t="n"/>
      <c r="T293" s="28">
        <f>IF(Q293="","",IF(Q293="SUCCESS",1,0))</f>
        <v/>
      </c>
      <c r="U293" s="29">
        <f>IF(OR(N293="",Q293&lt;&gt;"SUCCESS"),"",N293-SUM(I293:M293))</f>
        <v/>
      </c>
      <c r="V293" s="30">
        <f>IF(OR(N293="",N293=0,L293=""),"",L293/N293)</f>
        <v/>
      </c>
      <c r="W293" s="29">
        <f>IF(OR(N293="",G293="",G293=0),"",N293/(G293/60))</f>
        <v/>
      </c>
    </row>
    <row r="294">
      <c r="A294" s="22" t="n"/>
      <c r="B294" s="23" t="n"/>
      <c r="C294" s="24" t="n"/>
      <c r="D294" s="24" t="n"/>
      <c r="E294" s="24" t="n"/>
      <c r="F294" s="22" t="n"/>
      <c r="G294" s="25" t="n"/>
      <c r="H294" s="26" t="n"/>
      <c r="I294" s="26" t="n"/>
      <c r="J294" s="26" t="n"/>
      <c r="K294" s="26" t="n"/>
      <c r="L294" s="26" t="n"/>
      <c r="M294" s="26" t="n"/>
      <c r="N294" s="26" t="n"/>
      <c r="O294" s="26" t="n"/>
      <c r="P294" s="22" t="n"/>
      <c r="Q294" s="24" t="n"/>
      <c r="R294" s="24" t="n"/>
      <c r="S294" s="27" t="n"/>
      <c r="T294" s="28">
        <f>IF(Q294="","",IF(Q294="SUCCESS",1,0))</f>
        <v/>
      </c>
      <c r="U294" s="29">
        <f>IF(OR(N294="",Q294&lt;&gt;"SUCCESS"),"",N294-SUM(I294:M294))</f>
        <v/>
      </c>
      <c r="V294" s="30">
        <f>IF(OR(N294="",N294=0,L294=""),"",L294/N294)</f>
        <v/>
      </c>
      <c r="W294" s="29">
        <f>IF(OR(N294="",G294="",G294=0),"",N294/(G294/60))</f>
        <v/>
      </c>
    </row>
    <row r="295">
      <c r="A295" s="22" t="n"/>
      <c r="B295" s="23" t="n"/>
      <c r="C295" s="24" t="n"/>
      <c r="D295" s="24" t="n"/>
      <c r="E295" s="24" t="n"/>
      <c r="F295" s="22" t="n"/>
      <c r="G295" s="25" t="n"/>
      <c r="H295" s="26" t="n"/>
      <c r="I295" s="26" t="n"/>
      <c r="J295" s="26" t="n"/>
      <c r="K295" s="26" t="n"/>
      <c r="L295" s="26" t="n"/>
      <c r="M295" s="26" t="n"/>
      <c r="N295" s="26" t="n"/>
      <c r="O295" s="26" t="n"/>
      <c r="P295" s="22" t="n"/>
      <c r="Q295" s="24" t="n"/>
      <c r="R295" s="24" t="n"/>
      <c r="S295" s="27" t="n"/>
      <c r="T295" s="28">
        <f>IF(Q295="","",IF(Q295="SUCCESS",1,0))</f>
        <v/>
      </c>
      <c r="U295" s="29">
        <f>IF(OR(N295="",Q295&lt;&gt;"SUCCESS"),"",N295-SUM(I295:M295))</f>
        <v/>
      </c>
      <c r="V295" s="30">
        <f>IF(OR(N295="",N295=0,L295=""),"",L295/N295)</f>
        <v/>
      </c>
      <c r="W295" s="29">
        <f>IF(OR(N295="",G295="",G295=0),"",N295/(G295/60))</f>
        <v/>
      </c>
    </row>
    <row r="296">
      <c r="A296" s="22" t="n"/>
      <c r="B296" s="23" t="n"/>
      <c r="C296" s="24" t="n"/>
      <c r="D296" s="24" t="n"/>
      <c r="E296" s="24" t="n"/>
      <c r="F296" s="22" t="n"/>
      <c r="G296" s="25" t="n"/>
      <c r="H296" s="26" t="n"/>
      <c r="I296" s="26" t="n"/>
      <c r="J296" s="26" t="n"/>
      <c r="K296" s="26" t="n"/>
      <c r="L296" s="26" t="n"/>
      <c r="M296" s="26" t="n"/>
      <c r="N296" s="26" t="n"/>
      <c r="O296" s="26" t="n"/>
      <c r="P296" s="22" t="n"/>
      <c r="Q296" s="24" t="n"/>
      <c r="R296" s="24" t="n"/>
      <c r="S296" s="27" t="n"/>
      <c r="T296" s="28">
        <f>IF(Q296="","",IF(Q296="SUCCESS",1,0))</f>
        <v/>
      </c>
      <c r="U296" s="29">
        <f>IF(OR(N296="",Q296&lt;&gt;"SUCCESS"),"",N296-SUM(I296:M296))</f>
        <v/>
      </c>
      <c r="V296" s="30">
        <f>IF(OR(N296="",N296=0,L296=""),"",L296/N296)</f>
        <v/>
      </c>
      <c r="W296" s="29">
        <f>IF(OR(N296="",G296="",G296=0),"",N296/(G296/60))</f>
        <v/>
      </c>
    </row>
    <row r="297">
      <c r="A297" s="22" t="n"/>
      <c r="B297" s="23" t="n"/>
      <c r="C297" s="24" t="n"/>
      <c r="D297" s="24" t="n"/>
      <c r="E297" s="24" t="n"/>
      <c r="F297" s="22" t="n"/>
      <c r="G297" s="25" t="n"/>
      <c r="H297" s="26" t="n"/>
      <c r="I297" s="26" t="n"/>
      <c r="J297" s="26" t="n"/>
      <c r="K297" s="26" t="n"/>
      <c r="L297" s="26" t="n"/>
      <c r="M297" s="26" t="n"/>
      <c r="N297" s="26" t="n"/>
      <c r="O297" s="26" t="n"/>
      <c r="P297" s="22" t="n"/>
      <c r="Q297" s="24" t="n"/>
      <c r="R297" s="24" t="n"/>
      <c r="S297" s="27" t="n"/>
      <c r="T297" s="28">
        <f>IF(Q297="","",IF(Q297="SUCCESS",1,0))</f>
        <v/>
      </c>
      <c r="U297" s="29">
        <f>IF(OR(N297="",Q297&lt;&gt;"SUCCESS"),"",N297-SUM(I297:M297))</f>
        <v/>
      </c>
      <c r="V297" s="30">
        <f>IF(OR(N297="",N297=0,L297=""),"",L297/N297)</f>
        <v/>
      </c>
      <c r="W297" s="29">
        <f>IF(OR(N297="",G297="",G297=0),"",N297/(G297/60))</f>
        <v/>
      </c>
    </row>
    <row r="298">
      <c r="A298" s="22" t="n"/>
      <c r="B298" s="23" t="n"/>
      <c r="C298" s="24" t="n"/>
      <c r="D298" s="24" t="n"/>
      <c r="E298" s="24" t="n"/>
      <c r="F298" s="22" t="n"/>
      <c r="G298" s="25" t="n"/>
      <c r="H298" s="26" t="n"/>
      <c r="I298" s="26" t="n"/>
      <c r="J298" s="26" t="n"/>
      <c r="K298" s="26" t="n"/>
      <c r="L298" s="26" t="n"/>
      <c r="M298" s="26" t="n"/>
      <c r="N298" s="26" t="n"/>
      <c r="O298" s="26" t="n"/>
      <c r="P298" s="22" t="n"/>
      <c r="Q298" s="24" t="n"/>
      <c r="R298" s="24" t="n"/>
      <c r="S298" s="27" t="n"/>
      <c r="T298" s="28">
        <f>IF(Q298="","",IF(Q298="SUCCESS",1,0))</f>
        <v/>
      </c>
      <c r="U298" s="29">
        <f>IF(OR(N298="",Q298&lt;&gt;"SUCCESS"),"",N298-SUM(I298:M298))</f>
        <v/>
      </c>
      <c r="V298" s="30">
        <f>IF(OR(N298="",N298=0,L298=""),"",L298/N298)</f>
        <v/>
      </c>
      <c r="W298" s="29">
        <f>IF(OR(N298="",G298="",G298=0),"",N298/(G298/60))</f>
        <v/>
      </c>
    </row>
    <row r="299">
      <c r="A299" s="22" t="n"/>
      <c r="B299" s="23" t="n"/>
      <c r="C299" s="24" t="n"/>
      <c r="D299" s="24" t="n"/>
      <c r="E299" s="24" t="n"/>
      <c r="F299" s="22" t="n"/>
      <c r="G299" s="25" t="n"/>
      <c r="H299" s="26" t="n"/>
      <c r="I299" s="26" t="n"/>
      <c r="J299" s="26" t="n"/>
      <c r="K299" s="26" t="n"/>
      <c r="L299" s="26" t="n"/>
      <c r="M299" s="26" t="n"/>
      <c r="N299" s="26" t="n"/>
      <c r="O299" s="26" t="n"/>
      <c r="P299" s="22" t="n"/>
      <c r="Q299" s="24" t="n"/>
      <c r="R299" s="24" t="n"/>
      <c r="S299" s="27" t="n"/>
      <c r="T299" s="28">
        <f>IF(Q299="","",IF(Q299="SUCCESS",1,0))</f>
        <v/>
      </c>
      <c r="U299" s="29">
        <f>IF(OR(N299="",Q299&lt;&gt;"SUCCESS"),"",N299-SUM(I299:M299))</f>
        <v/>
      </c>
      <c r="V299" s="30">
        <f>IF(OR(N299="",N299=0,L299=""),"",L299/N299)</f>
        <v/>
      </c>
      <c r="W299" s="29">
        <f>IF(OR(N299="",G299="",G299=0),"",N299/(G299/60))</f>
        <v/>
      </c>
    </row>
    <row r="300">
      <c r="A300" s="22" t="n"/>
      <c r="B300" s="23" t="n"/>
      <c r="C300" s="24" t="n"/>
      <c r="D300" s="24" t="n"/>
      <c r="E300" s="24" t="n"/>
      <c r="F300" s="22" t="n"/>
      <c r="G300" s="25" t="n"/>
      <c r="H300" s="26" t="n"/>
      <c r="I300" s="26" t="n"/>
      <c r="J300" s="26" t="n"/>
      <c r="K300" s="26" t="n"/>
      <c r="L300" s="26" t="n"/>
      <c r="M300" s="26" t="n"/>
      <c r="N300" s="26" t="n"/>
      <c r="O300" s="26" t="n"/>
      <c r="P300" s="22" t="n"/>
      <c r="Q300" s="24" t="n"/>
      <c r="R300" s="24" t="n"/>
      <c r="S300" s="27" t="n"/>
      <c r="T300" s="28">
        <f>IF(Q300="","",IF(Q300="SUCCESS",1,0))</f>
        <v/>
      </c>
      <c r="U300" s="29">
        <f>IF(OR(N300="",Q300&lt;&gt;"SUCCESS"),"",N300-SUM(I300:M300))</f>
        <v/>
      </c>
      <c r="V300" s="30">
        <f>IF(OR(N300="",N300=0,L300=""),"",L300/N300)</f>
        <v/>
      </c>
      <c r="W300" s="29">
        <f>IF(OR(N300="",G300="",G300=0),"",N300/(G300/60))</f>
        <v/>
      </c>
    </row>
    <row r="301">
      <c r="A301" s="22" t="n"/>
      <c r="B301" s="23" t="n"/>
      <c r="C301" s="24" t="n"/>
      <c r="D301" s="24" t="n"/>
      <c r="E301" s="24" t="n"/>
      <c r="F301" s="22" t="n"/>
      <c r="G301" s="25" t="n"/>
      <c r="H301" s="26" t="n"/>
      <c r="I301" s="26" t="n"/>
      <c r="J301" s="26" t="n"/>
      <c r="K301" s="26" t="n"/>
      <c r="L301" s="26" t="n"/>
      <c r="M301" s="26" t="n"/>
      <c r="N301" s="26" t="n"/>
      <c r="O301" s="26" t="n"/>
      <c r="P301" s="22" t="n"/>
      <c r="Q301" s="24" t="n"/>
      <c r="R301" s="24" t="n"/>
      <c r="S301" s="27" t="n"/>
      <c r="T301" s="28">
        <f>IF(Q301="","",IF(Q301="SUCCESS",1,0))</f>
        <v/>
      </c>
      <c r="U301" s="29">
        <f>IF(OR(N301="",Q301&lt;&gt;"SUCCESS"),"",N301-SUM(I301:M301))</f>
        <v/>
      </c>
      <c r="V301" s="30">
        <f>IF(OR(N301="",N301=0,L301=""),"",L301/N301)</f>
        <v/>
      </c>
      <c r="W301" s="29">
        <f>IF(OR(N301="",G301="",G301=0),"",N301/(G301/60))</f>
        <v/>
      </c>
    </row>
    <row r="302">
      <c r="A302" s="22" t="n"/>
      <c r="B302" s="23" t="n"/>
      <c r="C302" s="24" t="n"/>
      <c r="D302" s="24" t="n"/>
      <c r="E302" s="24" t="n"/>
      <c r="F302" s="22" t="n"/>
      <c r="G302" s="25" t="n"/>
      <c r="H302" s="26" t="n"/>
      <c r="I302" s="26" t="n"/>
      <c r="J302" s="26" t="n"/>
      <c r="K302" s="26" t="n"/>
      <c r="L302" s="26" t="n"/>
      <c r="M302" s="26" t="n"/>
      <c r="N302" s="26" t="n"/>
      <c r="O302" s="26" t="n"/>
      <c r="P302" s="22" t="n"/>
      <c r="Q302" s="24" t="n"/>
      <c r="R302" s="24" t="n"/>
      <c r="S302" s="27" t="n"/>
      <c r="T302" s="28">
        <f>IF(Q302="","",IF(Q302="SUCCESS",1,0))</f>
        <v/>
      </c>
      <c r="U302" s="29">
        <f>IF(OR(N302="",Q302&lt;&gt;"SUCCESS"),"",N302-SUM(I302:M302))</f>
        <v/>
      </c>
      <c r="V302" s="30">
        <f>IF(OR(N302="",N302=0,L302=""),"",L302/N302)</f>
        <v/>
      </c>
      <c r="W302" s="29">
        <f>IF(OR(N302="",G302="",G302=0),"",N302/(G302/60))</f>
        <v/>
      </c>
    </row>
    <row r="303">
      <c r="A303" s="22" t="n"/>
      <c r="B303" s="23" t="n"/>
      <c r="C303" s="24" t="n"/>
      <c r="D303" s="24" t="n"/>
      <c r="E303" s="24" t="n"/>
      <c r="F303" s="22" t="n"/>
      <c r="G303" s="25" t="n"/>
      <c r="H303" s="26" t="n"/>
      <c r="I303" s="26" t="n"/>
      <c r="J303" s="26" t="n"/>
      <c r="K303" s="26" t="n"/>
      <c r="L303" s="26" t="n"/>
      <c r="M303" s="26" t="n"/>
      <c r="N303" s="26" t="n"/>
      <c r="O303" s="26" t="n"/>
      <c r="P303" s="22" t="n"/>
      <c r="Q303" s="24" t="n"/>
      <c r="R303" s="24" t="n"/>
      <c r="S303" s="27" t="n"/>
      <c r="T303" s="28">
        <f>IF(Q303="","",IF(Q303="SUCCESS",1,0))</f>
        <v/>
      </c>
      <c r="U303" s="29">
        <f>IF(OR(N303="",Q303&lt;&gt;"SUCCESS"),"",N303-SUM(I303:M303))</f>
        <v/>
      </c>
      <c r="V303" s="30">
        <f>IF(OR(N303="",N303=0,L303=""),"",L303/N303)</f>
        <v/>
      </c>
      <c r="W303" s="29">
        <f>IF(OR(N303="",G303="",G303=0),"",N303/(G303/60))</f>
        <v/>
      </c>
    </row>
    <row r="304">
      <c r="A304" s="22" t="n"/>
      <c r="B304" s="23" t="n"/>
      <c r="C304" s="24" t="n"/>
      <c r="D304" s="24" t="n"/>
      <c r="E304" s="24" t="n"/>
      <c r="F304" s="22" t="n"/>
      <c r="G304" s="25" t="n"/>
      <c r="H304" s="26" t="n"/>
      <c r="I304" s="26" t="n"/>
      <c r="J304" s="26" t="n"/>
      <c r="K304" s="26" t="n"/>
      <c r="L304" s="26" t="n"/>
      <c r="M304" s="26" t="n"/>
      <c r="N304" s="26" t="n"/>
      <c r="O304" s="26" t="n"/>
      <c r="P304" s="22" t="n"/>
      <c r="Q304" s="24" t="n"/>
      <c r="R304" s="24" t="n"/>
      <c r="S304" s="27" t="n"/>
      <c r="T304" s="28">
        <f>IF(Q304="","",IF(Q304="SUCCESS",1,0))</f>
        <v/>
      </c>
      <c r="U304" s="29">
        <f>IF(OR(N304="",Q304&lt;&gt;"SUCCESS"),"",N304-SUM(I304:M304))</f>
        <v/>
      </c>
      <c r="V304" s="30">
        <f>IF(OR(N304="",N304=0,L304=""),"",L304/N304)</f>
        <v/>
      </c>
      <c r="W304" s="29">
        <f>IF(OR(N304="",G304="",G304=0),"",N304/(G304/60))</f>
        <v/>
      </c>
    </row>
    <row r="305">
      <c r="A305" s="22" t="n"/>
      <c r="B305" s="23" t="n"/>
      <c r="C305" s="24" t="n"/>
      <c r="D305" s="24" t="n"/>
      <c r="E305" s="24" t="n"/>
      <c r="F305" s="22" t="n"/>
      <c r="G305" s="25" t="n"/>
      <c r="H305" s="26" t="n"/>
      <c r="I305" s="26" t="n"/>
      <c r="J305" s="26" t="n"/>
      <c r="K305" s="26" t="n"/>
      <c r="L305" s="26" t="n"/>
      <c r="M305" s="26" t="n"/>
      <c r="N305" s="26" t="n"/>
      <c r="O305" s="26" t="n"/>
      <c r="P305" s="22" t="n"/>
      <c r="Q305" s="24" t="n"/>
      <c r="R305" s="24" t="n"/>
      <c r="S305" s="27" t="n"/>
      <c r="T305" s="28">
        <f>IF(Q305="","",IF(Q305="SUCCESS",1,0))</f>
        <v/>
      </c>
      <c r="U305" s="29">
        <f>IF(OR(N305="",Q305&lt;&gt;"SUCCESS"),"",N305-SUM(I305:M305))</f>
        <v/>
      </c>
      <c r="V305" s="30">
        <f>IF(OR(N305="",N305=0,L305=""),"",L305/N305)</f>
        <v/>
      </c>
      <c r="W305" s="29">
        <f>IF(OR(N305="",G305="",G305=0),"",N305/(G305/60))</f>
        <v/>
      </c>
    </row>
    <row r="306">
      <c r="A306" s="22" t="n"/>
      <c r="B306" s="23" t="n"/>
      <c r="C306" s="24" t="n"/>
      <c r="D306" s="24" t="n"/>
      <c r="E306" s="24" t="n"/>
      <c r="F306" s="22" t="n"/>
      <c r="G306" s="25" t="n"/>
      <c r="H306" s="26" t="n"/>
      <c r="I306" s="26" t="n"/>
      <c r="J306" s="26" t="n"/>
      <c r="K306" s="26" t="n"/>
      <c r="L306" s="26" t="n"/>
      <c r="M306" s="26" t="n"/>
      <c r="N306" s="26" t="n"/>
      <c r="O306" s="26" t="n"/>
      <c r="P306" s="22" t="n"/>
      <c r="Q306" s="24" t="n"/>
      <c r="R306" s="24" t="n"/>
      <c r="S306" s="27" t="n"/>
      <c r="T306" s="28">
        <f>IF(Q306="","",IF(Q306="SUCCESS",1,0))</f>
        <v/>
      </c>
      <c r="U306" s="29">
        <f>IF(OR(N306="",Q306&lt;&gt;"SUCCESS"),"",N306-SUM(I306:M306))</f>
        <v/>
      </c>
      <c r="V306" s="30">
        <f>IF(OR(N306="",N306=0,L306=""),"",L306/N306)</f>
        <v/>
      </c>
      <c r="W306" s="29">
        <f>IF(OR(N306="",G306="",G306=0),"",N306/(G306/60))</f>
        <v/>
      </c>
    </row>
    <row r="307">
      <c r="A307" s="22" t="n"/>
      <c r="B307" s="23" t="n"/>
      <c r="C307" s="24" t="n"/>
      <c r="D307" s="24" t="n"/>
      <c r="E307" s="24" t="n"/>
      <c r="F307" s="22" t="n"/>
      <c r="G307" s="25" t="n"/>
      <c r="H307" s="26" t="n"/>
      <c r="I307" s="26" t="n"/>
      <c r="J307" s="26" t="n"/>
      <c r="K307" s="26" t="n"/>
      <c r="L307" s="26" t="n"/>
      <c r="M307" s="26" t="n"/>
      <c r="N307" s="26" t="n"/>
      <c r="O307" s="26" t="n"/>
      <c r="P307" s="22" t="n"/>
      <c r="Q307" s="24" t="n"/>
      <c r="R307" s="24" t="n"/>
      <c r="S307" s="27" t="n"/>
      <c r="T307" s="28">
        <f>IF(Q307="","",IF(Q307="SUCCESS",1,0))</f>
        <v/>
      </c>
      <c r="U307" s="29">
        <f>IF(OR(N307="",Q307&lt;&gt;"SUCCESS"),"",N307-SUM(I307:M307))</f>
        <v/>
      </c>
      <c r="V307" s="30">
        <f>IF(OR(N307="",N307=0,L307=""),"",L307/N307)</f>
        <v/>
      </c>
      <c r="W307" s="29">
        <f>IF(OR(N307="",G307="",G307=0),"",N307/(G307/60))</f>
        <v/>
      </c>
    </row>
    <row r="308">
      <c r="A308" s="22" t="n"/>
      <c r="B308" s="23" t="n"/>
      <c r="C308" s="24" t="n"/>
      <c r="D308" s="24" t="n"/>
      <c r="E308" s="24" t="n"/>
      <c r="F308" s="22" t="n"/>
      <c r="G308" s="25" t="n"/>
      <c r="H308" s="26" t="n"/>
      <c r="I308" s="26" t="n"/>
      <c r="J308" s="26" t="n"/>
      <c r="K308" s="26" t="n"/>
      <c r="L308" s="26" t="n"/>
      <c r="M308" s="26" t="n"/>
      <c r="N308" s="26" t="n"/>
      <c r="O308" s="26" t="n"/>
      <c r="P308" s="22" t="n"/>
      <c r="Q308" s="24" t="n"/>
      <c r="R308" s="24" t="n"/>
      <c r="S308" s="27" t="n"/>
      <c r="T308" s="28">
        <f>IF(Q308="","",IF(Q308="SUCCESS",1,0))</f>
        <v/>
      </c>
      <c r="U308" s="29">
        <f>IF(OR(N308="",Q308&lt;&gt;"SUCCESS"),"",N308-SUM(I308:M308))</f>
        <v/>
      </c>
      <c r="V308" s="30">
        <f>IF(OR(N308="",N308=0,L308=""),"",L308/N308)</f>
        <v/>
      </c>
      <c r="W308" s="29">
        <f>IF(OR(N308="",G308="",G308=0),"",N308/(G308/60))</f>
        <v/>
      </c>
    </row>
    <row r="309">
      <c r="A309" s="22" t="n"/>
      <c r="B309" s="23" t="n"/>
      <c r="C309" s="24" t="n"/>
      <c r="D309" s="24" t="n"/>
      <c r="E309" s="24" t="n"/>
      <c r="F309" s="22" t="n"/>
      <c r="G309" s="25" t="n"/>
      <c r="H309" s="26" t="n"/>
      <c r="I309" s="26" t="n"/>
      <c r="J309" s="26" t="n"/>
      <c r="K309" s="26" t="n"/>
      <c r="L309" s="26" t="n"/>
      <c r="M309" s="26" t="n"/>
      <c r="N309" s="26" t="n"/>
      <c r="O309" s="26" t="n"/>
      <c r="P309" s="22" t="n"/>
      <c r="Q309" s="24" t="n"/>
      <c r="R309" s="24" t="n"/>
      <c r="S309" s="27" t="n"/>
      <c r="T309" s="28">
        <f>IF(Q309="","",IF(Q309="SUCCESS",1,0))</f>
        <v/>
      </c>
      <c r="U309" s="29">
        <f>IF(OR(N309="",Q309&lt;&gt;"SUCCESS"),"",N309-SUM(I309:M309))</f>
        <v/>
      </c>
      <c r="V309" s="30">
        <f>IF(OR(N309="",N309=0,L309=""),"",L309/N309)</f>
        <v/>
      </c>
      <c r="W309" s="29">
        <f>IF(OR(N309="",G309="",G309=0),"",N309/(G309/60))</f>
        <v/>
      </c>
    </row>
    <row r="310">
      <c r="A310" s="22" t="n"/>
      <c r="B310" s="23" t="n"/>
      <c r="C310" s="24" t="n"/>
      <c r="D310" s="24" t="n"/>
      <c r="E310" s="24" t="n"/>
      <c r="F310" s="22" t="n"/>
      <c r="G310" s="25" t="n"/>
      <c r="H310" s="26" t="n"/>
      <c r="I310" s="26" t="n"/>
      <c r="J310" s="26" t="n"/>
      <c r="K310" s="26" t="n"/>
      <c r="L310" s="26" t="n"/>
      <c r="M310" s="26" t="n"/>
      <c r="N310" s="26" t="n"/>
      <c r="O310" s="26" t="n"/>
      <c r="P310" s="22" t="n"/>
      <c r="Q310" s="24" t="n"/>
      <c r="R310" s="24" t="n"/>
      <c r="S310" s="27" t="n"/>
      <c r="T310" s="28">
        <f>IF(Q310="","",IF(Q310="SUCCESS",1,0))</f>
        <v/>
      </c>
      <c r="U310" s="29">
        <f>IF(OR(N310="",Q310&lt;&gt;"SUCCESS"),"",N310-SUM(I310:M310))</f>
        <v/>
      </c>
      <c r="V310" s="30">
        <f>IF(OR(N310="",N310=0,L310=""),"",L310/N310)</f>
        <v/>
      </c>
      <c r="W310" s="29">
        <f>IF(OR(N310="",G310="",G310=0),"",N310/(G310/60))</f>
        <v/>
      </c>
    </row>
    <row r="311">
      <c r="A311" s="22" t="n"/>
      <c r="B311" s="23" t="n"/>
      <c r="C311" s="24" t="n"/>
      <c r="D311" s="24" t="n"/>
      <c r="E311" s="24" t="n"/>
      <c r="F311" s="22" t="n"/>
      <c r="G311" s="25" t="n"/>
      <c r="H311" s="26" t="n"/>
      <c r="I311" s="26" t="n"/>
      <c r="J311" s="26" t="n"/>
      <c r="K311" s="26" t="n"/>
      <c r="L311" s="26" t="n"/>
      <c r="M311" s="26" t="n"/>
      <c r="N311" s="26" t="n"/>
      <c r="O311" s="26" t="n"/>
      <c r="P311" s="22" t="n"/>
      <c r="Q311" s="24" t="n"/>
      <c r="R311" s="24" t="n"/>
      <c r="S311" s="27" t="n"/>
      <c r="T311" s="28">
        <f>IF(Q311="","",IF(Q311="SUCCESS",1,0))</f>
        <v/>
      </c>
      <c r="U311" s="29">
        <f>IF(OR(N311="",Q311&lt;&gt;"SUCCESS"),"",N311-SUM(I311:M311))</f>
        <v/>
      </c>
      <c r="V311" s="30">
        <f>IF(OR(N311="",N311=0,L311=""),"",L311/N311)</f>
        <v/>
      </c>
      <c r="W311" s="29">
        <f>IF(OR(N311="",G311="",G311=0),"",N311/(G311/60))</f>
        <v/>
      </c>
    </row>
    <row r="312">
      <c r="A312" s="22" t="n"/>
      <c r="B312" s="23" t="n"/>
      <c r="C312" s="24" t="n"/>
      <c r="D312" s="24" t="n"/>
      <c r="E312" s="24" t="n"/>
      <c r="F312" s="22" t="n"/>
      <c r="G312" s="25" t="n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2" t="n"/>
      <c r="Q312" s="24" t="n"/>
      <c r="R312" s="24" t="n"/>
      <c r="S312" s="27" t="n"/>
      <c r="T312" s="28">
        <f>IF(Q312="","",IF(Q312="SUCCESS",1,0))</f>
        <v/>
      </c>
      <c r="U312" s="29">
        <f>IF(OR(N312="",Q312&lt;&gt;"SUCCESS"),"",N312-SUM(I312:M312))</f>
        <v/>
      </c>
      <c r="V312" s="30">
        <f>IF(OR(N312="",N312=0,L312=""),"",L312/N312)</f>
        <v/>
      </c>
      <c r="W312" s="29">
        <f>IF(OR(N312="",G312="",G312=0),"",N312/(G312/60))</f>
        <v/>
      </c>
    </row>
    <row r="313">
      <c r="A313" s="22" t="n"/>
      <c r="B313" s="23" t="n"/>
      <c r="C313" s="24" t="n"/>
      <c r="D313" s="24" t="n"/>
      <c r="E313" s="24" t="n"/>
      <c r="F313" s="22" t="n"/>
      <c r="G313" s="25" t="n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2" t="n"/>
      <c r="Q313" s="24" t="n"/>
      <c r="R313" s="24" t="n"/>
      <c r="S313" s="27" t="n"/>
      <c r="T313" s="28">
        <f>IF(Q313="","",IF(Q313="SUCCESS",1,0))</f>
        <v/>
      </c>
      <c r="U313" s="29">
        <f>IF(OR(N313="",Q313&lt;&gt;"SUCCESS"),"",N313-SUM(I313:M313))</f>
        <v/>
      </c>
      <c r="V313" s="30">
        <f>IF(OR(N313="",N313=0,L313=""),"",L313/N313)</f>
        <v/>
      </c>
      <c r="W313" s="29">
        <f>IF(OR(N313="",G313="",G313=0),"",N313/(G313/60))</f>
        <v/>
      </c>
    </row>
    <row r="314">
      <c r="A314" s="22" t="n"/>
      <c r="B314" s="23" t="n"/>
      <c r="C314" s="24" t="n"/>
      <c r="D314" s="24" t="n"/>
      <c r="E314" s="24" t="n"/>
      <c r="F314" s="22" t="n"/>
      <c r="G314" s="25" t="n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2" t="n"/>
      <c r="Q314" s="24" t="n"/>
      <c r="R314" s="24" t="n"/>
      <c r="S314" s="27" t="n"/>
      <c r="T314" s="28">
        <f>IF(Q314="","",IF(Q314="SUCCESS",1,0))</f>
        <v/>
      </c>
      <c r="U314" s="29">
        <f>IF(OR(N314="",Q314&lt;&gt;"SUCCESS"),"",N314-SUM(I314:M314))</f>
        <v/>
      </c>
      <c r="V314" s="30">
        <f>IF(OR(N314="",N314=0,L314=""),"",L314/N314)</f>
        <v/>
      </c>
      <c r="W314" s="29">
        <f>IF(OR(N314="",G314="",G314=0),"",N314/(G314/60))</f>
        <v/>
      </c>
    </row>
    <row r="315">
      <c r="A315" s="22" t="n"/>
      <c r="B315" s="23" t="n"/>
      <c r="C315" s="24" t="n"/>
      <c r="D315" s="24" t="n"/>
      <c r="E315" s="24" t="n"/>
      <c r="F315" s="22" t="n"/>
      <c r="G315" s="25" t="n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2" t="n"/>
      <c r="Q315" s="24" t="n"/>
      <c r="R315" s="24" t="n"/>
      <c r="S315" s="27" t="n"/>
      <c r="T315" s="28">
        <f>IF(Q315="","",IF(Q315="SUCCESS",1,0))</f>
        <v/>
      </c>
      <c r="U315" s="29">
        <f>IF(OR(N315="",Q315&lt;&gt;"SUCCESS"),"",N315-SUM(I315:M315))</f>
        <v/>
      </c>
      <c r="V315" s="30">
        <f>IF(OR(N315="",N315=0,L315=""),"",L315/N315)</f>
        <v/>
      </c>
      <c r="W315" s="29">
        <f>IF(OR(N315="",G315="",G315=0),"",N315/(G315/60))</f>
        <v/>
      </c>
    </row>
    <row r="316">
      <c r="A316" s="22" t="n"/>
      <c r="B316" s="23" t="n"/>
      <c r="C316" s="24" t="n"/>
      <c r="D316" s="24" t="n"/>
      <c r="E316" s="24" t="n"/>
      <c r="F316" s="22" t="n"/>
      <c r="G316" s="25" t="n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2" t="n"/>
      <c r="Q316" s="24" t="n"/>
      <c r="R316" s="24" t="n"/>
      <c r="S316" s="27" t="n"/>
      <c r="T316" s="28">
        <f>IF(Q316="","",IF(Q316="SUCCESS",1,0))</f>
        <v/>
      </c>
      <c r="U316" s="29">
        <f>IF(OR(N316="",Q316&lt;&gt;"SUCCESS"),"",N316-SUM(I316:M316))</f>
        <v/>
      </c>
      <c r="V316" s="30">
        <f>IF(OR(N316="",N316=0,L316=""),"",L316/N316)</f>
        <v/>
      </c>
      <c r="W316" s="29">
        <f>IF(OR(N316="",G316="",G316=0),"",N316/(G316/60))</f>
        <v/>
      </c>
    </row>
    <row r="317">
      <c r="A317" s="22" t="n"/>
      <c r="B317" s="23" t="n"/>
      <c r="C317" s="24" t="n"/>
      <c r="D317" s="24" t="n"/>
      <c r="E317" s="24" t="n"/>
      <c r="F317" s="22" t="n"/>
      <c r="G317" s="25" t="n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2" t="n"/>
      <c r="Q317" s="24" t="n"/>
      <c r="R317" s="24" t="n"/>
      <c r="S317" s="27" t="n"/>
      <c r="T317" s="28">
        <f>IF(Q317="","",IF(Q317="SUCCESS",1,0))</f>
        <v/>
      </c>
      <c r="U317" s="29">
        <f>IF(OR(N317="",Q317&lt;&gt;"SUCCESS"),"",N317-SUM(I317:M317))</f>
        <v/>
      </c>
      <c r="V317" s="30">
        <f>IF(OR(N317="",N317=0,L317=""),"",L317/N317)</f>
        <v/>
      </c>
      <c r="W317" s="29">
        <f>IF(OR(N317="",G317="",G317=0),"",N317/(G317/60))</f>
        <v/>
      </c>
    </row>
    <row r="318">
      <c r="A318" s="22" t="n"/>
      <c r="B318" s="23" t="n"/>
      <c r="C318" s="24" t="n"/>
      <c r="D318" s="24" t="n"/>
      <c r="E318" s="24" t="n"/>
      <c r="F318" s="22" t="n"/>
      <c r="G318" s="25" t="n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2" t="n"/>
      <c r="Q318" s="24" t="n"/>
      <c r="R318" s="24" t="n"/>
      <c r="S318" s="27" t="n"/>
      <c r="T318" s="28">
        <f>IF(Q318="","",IF(Q318="SUCCESS",1,0))</f>
        <v/>
      </c>
      <c r="U318" s="29">
        <f>IF(OR(N318="",Q318&lt;&gt;"SUCCESS"),"",N318-SUM(I318:M318))</f>
        <v/>
      </c>
      <c r="V318" s="30">
        <f>IF(OR(N318="",N318=0,L318=""),"",L318/N318)</f>
        <v/>
      </c>
      <c r="W318" s="29">
        <f>IF(OR(N318="",G318="",G318=0),"",N318/(G318/60))</f>
        <v/>
      </c>
    </row>
    <row r="319">
      <c r="A319" s="22" t="n"/>
      <c r="B319" s="23" t="n"/>
      <c r="C319" s="24" t="n"/>
      <c r="D319" s="24" t="n"/>
      <c r="E319" s="24" t="n"/>
      <c r="F319" s="22" t="n"/>
      <c r="G319" s="25" t="n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2" t="n"/>
      <c r="Q319" s="24" t="n"/>
      <c r="R319" s="24" t="n"/>
      <c r="S319" s="27" t="n"/>
      <c r="T319" s="28">
        <f>IF(Q319="","",IF(Q319="SUCCESS",1,0))</f>
        <v/>
      </c>
      <c r="U319" s="29">
        <f>IF(OR(N319="",Q319&lt;&gt;"SUCCESS"),"",N319-SUM(I319:M319))</f>
        <v/>
      </c>
      <c r="V319" s="30">
        <f>IF(OR(N319="",N319=0,L319=""),"",L319/N319)</f>
        <v/>
      </c>
      <c r="W319" s="29">
        <f>IF(OR(N319="",G319="",G319=0),"",N319/(G319/60))</f>
        <v/>
      </c>
    </row>
    <row r="320">
      <c r="A320" s="22" t="n"/>
      <c r="B320" s="23" t="n"/>
      <c r="C320" s="24" t="n"/>
      <c r="D320" s="24" t="n"/>
      <c r="E320" s="24" t="n"/>
      <c r="F320" s="22" t="n"/>
      <c r="G320" s="25" t="n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2" t="n"/>
      <c r="Q320" s="24" t="n"/>
      <c r="R320" s="24" t="n"/>
      <c r="S320" s="27" t="n"/>
      <c r="T320" s="28">
        <f>IF(Q320="","",IF(Q320="SUCCESS",1,0))</f>
        <v/>
      </c>
      <c r="U320" s="29">
        <f>IF(OR(N320="",Q320&lt;&gt;"SUCCESS"),"",N320-SUM(I320:M320))</f>
        <v/>
      </c>
      <c r="V320" s="30">
        <f>IF(OR(N320="",N320=0,L320=""),"",L320/N320)</f>
        <v/>
      </c>
      <c r="W320" s="29">
        <f>IF(OR(N320="",G320="",G320=0),"",N320/(G320/60))</f>
        <v/>
      </c>
    </row>
    <row r="321">
      <c r="A321" s="22" t="n"/>
      <c r="B321" s="23" t="n"/>
      <c r="C321" s="24" t="n"/>
      <c r="D321" s="24" t="n"/>
      <c r="E321" s="24" t="n"/>
      <c r="F321" s="22" t="n"/>
      <c r="G321" s="25" t="n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2" t="n"/>
      <c r="Q321" s="24" t="n"/>
      <c r="R321" s="24" t="n"/>
      <c r="S321" s="27" t="n"/>
      <c r="T321" s="28">
        <f>IF(Q321="","",IF(Q321="SUCCESS",1,0))</f>
        <v/>
      </c>
      <c r="U321" s="29">
        <f>IF(OR(N321="",Q321&lt;&gt;"SUCCESS"),"",N321-SUM(I321:M321))</f>
        <v/>
      </c>
      <c r="V321" s="30">
        <f>IF(OR(N321="",N321=0,L321=""),"",L321/N321)</f>
        <v/>
      </c>
      <c r="W321" s="29">
        <f>IF(OR(N321="",G321="",G321=0),"",N321/(G321/60))</f>
        <v/>
      </c>
    </row>
    <row r="322">
      <c r="A322" s="22" t="n"/>
      <c r="B322" s="23" t="n"/>
      <c r="C322" s="24" t="n"/>
      <c r="D322" s="24" t="n"/>
      <c r="E322" s="24" t="n"/>
      <c r="F322" s="22" t="n"/>
      <c r="G322" s="25" t="n"/>
      <c r="H322" s="26" t="n"/>
      <c r="I322" s="26" t="n"/>
      <c r="J322" s="26" t="n"/>
      <c r="K322" s="26" t="n"/>
      <c r="L322" s="26" t="n"/>
      <c r="M322" s="26" t="n"/>
      <c r="N322" s="26" t="n"/>
      <c r="O322" s="26" t="n"/>
      <c r="P322" s="22" t="n"/>
      <c r="Q322" s="24" t="n"/>
      <c r="R322" s="24" t="n"/>
      <c r="S322" s="27" t="n"/>
      <c r="T322" s="28">
        <f>IF(Q322="","",IF(Q322="SUCCESS",1,0))</f>
        <v/>
      </c>
      <c r="U322" s="29">
        <f>IF(OR(N322="",Q322&lt;&gt;"SUCCESS"),"",N322-SUM(I322:M322))</f>
        <v/>
      </c>
      <c r="V322" s="30">
        <f>IF(OR(N322="",N322=0,L322=""),"",L322/N322)</f>
        <v/>
      </c>
      <c r="W322" s="29">
        <f>IF(OR(N322="",G322="",G322=0),"",N322/(G322/60))</f>
        <v/>
      </c>
    </row>
    <row r="323">
      <c r="A323" s="22" t="n"/>
      <c r="B323" s="23" t="n"/>
      <c r="C323" s="24" t="n"/>
      <c r="D323" s="24" t="n"/>
      <c r="E323" s="24" t="n"/>
      <c r="F323" s="22" t="n"/>
      <c r="G323" s="25" t="n"/>
      <c r="H323" s="26" t="n"/>
      <c r="I323" s="26" t="n"/>
      <c r="J323" s="26" t="n"/>
      <c r="K323" s="26" t="n"/>
      <c r="L323" s="26" t="n"/>
      <c r="M323" s="26" t="n"/>
      <c r="N323" s="26" t="n"/>
      <c r="O323" s="26" t="n"/>
      <c r="P323" s="22" t="n"/>
      <c r="Q323" s="24" t="n"/>
      <c r="R323" s="24" t="n"/>
      <c r="S323" s="27" t="n"/>
      <c r="T323" s="28">
        <f>IF(Q323="","",IF(Q323="SUCCESS",1,0))</f>
        <v/>
      </c>
      <c r="U323" s="29">
        <f>IF(OR(N323="",Q323&lt;&gt;"SUCCESS"),"",N323-SUM(I323:M323))</f>
        <v/>
      </c>
      <c r="V323" s="30">
        <f>IF(OR(N323="",N323=0,L323=""),"",L323/N323)</f>
        <v/>
      </c>
      <c r="W323" s="29">
        <f>IF(OR(N323="",G323="",G323=0),"",N323/(G323/60))</f>
        <v/>
      </c>
    </row>
    <row r="324">
      <c r="A324" s="22" t="n"/>
      <c r="B324" s="23" t="n"/>
      <c r="C324" s="24" t="n"/>
      <c r="D324" s="24" t="n"/>
      <c r="E324" s="24" t="n"/>
      <c r="F324" s="22" t="n"/>
      <c r="G324" s="25" t="n"/>
      <c r="H324" s="26" t="n"/>
      <c r="I324" s="26" t="n"/>
      <c r="J324" s="26" t="n"/>
      <c r="K324" s="26" t="n"/>
      <c r="L324" s="26" t="n"/>
      <c r="M324" s="26" t="n"/>
      <c r="N324" s="26" t="n"/>
      <c r="O324" s="26" t="n"/>
      <c r="P324" s="22" t="n"/>
      <c r="Q324" s="24" t="n"/>
      <c r="R324" s="24" t="n"/>
      <c r="S324" s="27" t="n"/>
      <c r="T324" s="28">
        <f>IF(Q324="","",IF(Q324="SUCCESS",1,0))</f>
        <v/>
      </c>
      <c r="U324" s="29">
        <f>IF(OR(N324="",Q324&lt;&gt;"SUCCESS"),"",N324-SUM(I324:M324))</f>
        <v/>
      </c>
      <c r="V324" s="30">
        <f>IF(OR(N324="",N324=0,L324=""),"",L324/N324)</f>
        <v/>
      </c>
      <c r="W324" s="29">
        <f>IF(OR(N324="",G324="",G324=0),"",N324/(G324/60))</f>
        <v/>
      </c>
    </row>
    <row r="325">
      <c r="A325" s="22" t="n"/>
      <c r="B325" s="23" t="n"/>
      <c r="C325" s="24" t="n"/>
      <c r="D325" s="24" t="n"/>
      <c r="E325" s="24" t="n"/>
      <c r="F325" s="22" t="n"/>
      <c r="G325" s="25" t="n"/>
      <c r="H325" s="26" t="n"/>
      <c r="I325" s="26" t="n"/>
      <c r="J325" s="26" t="n"/>
      <c r="K325" s="26" t="n"/>
      <c r="L325" s="26" t="n"/>
      <c r="M325" s="26" t="n"/>
      <c r="N325" s="26" t="n"/>
      <c r="O325" s="26" t="n"/>
      <c r="P325" s="22" t="n"/>
      <c r="Q325" s="24" t="n"/>
      <c r="R325" s="24" t="n"/>
      <c r="S325" s="27" t="n"/>
      <c r="T325" s="28">
        <f>IF(Q325="","",IF(Q325="SUCCESS",1,0))</f>
        <v/>
      </c>
      <c r="U325" s="29">
        <f>IF(OR(N325="",Q325&lt;&gt;"SUCCESS"),"",N325-SUM(I325:M325))</f>
        <v/>
      </c>
      <c r="V325" s="30">
        <f>IF(OR(N325="",N325=0,L325=""),"",L325/N325)</f>
        <v/>
      </c>
      <c r="W325" s="29">
        <f>IF(OR(N325="",G325="",G325=0),"",N325/(G325/60))</f>
        <v/>
      </c>
    </row>
    <row r="326">
      <c r="A326" s="22" t="n"/>
      <c r="B326" s="23" t="n"/>
      <c r="C326" s="24" t="n"/>
      <c r="D326" s="24" t="n"/>
      <c r="E326" s="24" t="n"/>
      <c r="F326" s="22" t="n"/>
      <c r="G326" s="25" t="n"/>
      <c r="H326" s="26" t="n"/>
      <c r="I326" s="26" t="n"/>
      <c r="J326" s="26" t="n"/>
      <c r="K326" s="26" t="n"/>
      <c r="L326" s="26" t="n"/>
      <c r="M326" s="26" t="n"/>
      <c r="N326" s="26" t="n"/>
      <c r="O326" s="26" t="n"/>
      <c r="P326" s="22" t="n"/>
      <c r="Q326" s="24" t="n"/>
      <c r="R326" s="24" t="n"/>
      <c r="S326" s="27" t="n"/>
      <c r="T326" s="28">
        <f>IF(Q326="","",IF(Q326="SUCCESS",1,0))</f>
        <v/>
      </c>
      <c r="U326" s="29">
        <f>IF(OR(N326="",Q326&lt;&gt;"SUCCESS"),"",N326-SUM(I326:M326))</f>
        <v/>
      </c>
      <c r="V326" s="30">
        <f>IF(OR(N326="",N326=0,L326=""),"",L326/N326)</f>
        <v/>
      </c>
      <c r="W326" s="29">
        <f>IF(OR(N326="",G326="",G326=0),"",N326/(G326/60))</f>
        <v/>
      </c>
    </row>
    <row r="327">
      <c r="A327" s="22" t="n"/>
      <c r="B327" s="23" t="n"/>
      <c r="C327" s="24" t="n"/>
      <c r="D327" s="24" t="n"/>
      <c r="E327" s="24" t="n"/>
      <c r="F327" s="22" t="n"/>
      <c r="G327" s="25" t="n"/>
      <c r="H327" s="26" t="n"/>
      <c r="I327" s="26" t="n"/>
      <c r="J327" s="26" t="n"/>
      <c r="K327" s="26" t="n"/>
      <c r="L327" s="26" t="n"/>
      <c r="M327" s="26" t="n"/>
      <c r="N327" s="26" t="n"/>
      <c r="O327" s="26" t="n"/>
      <c r="P327" s="22" t="n"/>
      <c r="Q327" s="24" t="n"/>
      <c r="R327" s="24" t="n"/>
      <c r="S327" s="27" t="n"/>
      <c r="T327" s="28">
        <f>IF(Q327="","",IF(Q327="SUCCESS",1,0))</f>
        <v/>
      </c>
      <c r="U327" s="29">
        <f>IF(OR(N327="",Q327&lt;&gt;"SUCCESS"),"",N327-SUM(I327:M327))</f>
        <v/>
      </c>
      <c r="V327" s="30">
        <f>IF(OR(N327="",N327=0,L327=""),"",L327/N327)</f>
        <v/>
      </c>
      <c r="W327" s="29">
        <f>IF(OR(N327="",G327="",G327=0),"",N327/(G327/60))</f>
        <v/>
      </c>
    </row>
    <row r="328">
      <c r="A328" s="22" t="n"/>
      <c r="B328" s="23" t="n"/>
      <c r="C328" s="24" t="n"/>
      <c r="D328" s="24" t="n"/>
      <c r="E328" s="24" t="n"/>
      <c r="F328" s="22" t="n"/>
      <c r="G328" s="25" t="n"/>
      <c r="H328" s="26" t="n"/>
      <c r="I328" s="26" t="n"/>
      <c r="J328" s="26" t="n"/>
      <c r="K328" s="26" t="n"/>
      <c r="L328" s="26" t="n"/>
      <c r="M328" s="26" t="n"/>
      <c r="N328" s="26" t="n"/>
      <c r="O328" s="26" t="n"/>
      <c r="P328" s="22" t="n"/>
      <c r="Q328" s="24" t="n"/>
      <c r="R328" s="24" t="n"/>
      <c r="S328" s="27" t="n"/>
      <c r="T328" s="28">
        <f>IF(Q328="","",IF(Q328="SUCCESS",1,0))</f>
        <v/>
      </c>
      <c r="U328" s="29">
        <f>IF(OR(N328="",Q328&lt;&gt;"SUCCESS"),"",N328-SUM(I328:M328))</f>
        <v/>
      </c>
      <c r="V328" s="30">
        <f>IF(OR(N328="",N328=0,L328=""),"",L328/N328)</f>
        <v/>
      </c>
      <c r="W328" s="29">
        <f>IF(OR(N328="",G328="",G328=0),"",N328/(G328/60))</f>
        <v/>
      </c>
    </row>
    <row r="329">
      <c r="A329" s="22" t="n"/>
      <c r="B329" s="23" t="n"/>
      <c r="C329" s="24" t="n"/>
      <c r="D329" s="24" t="n"/>
      <c r="E329" s="24" t="n"/>
      <c r="F329" s="22" t="n"/>
      <c r="G329" s="25" t="n"/>
      <c r="H329" s="26" t="n"/>
      <c r="I329" s="26" t="n"/>
      <c r="J329" s="26" t="n"/>
      <c r="K329" s="26" t="n"/>
      <c r="L329" s="26" t="n"/>
      <c r="M329" s="26" t="n"/>
      <c r="N329" s="26" t="n"/>
      <c r="O329" s="26" t="n"/>
      <c r="P329" s="22" t="n"/>
      <c r="Q329" s="24" t="n"/>
      <c r="R329" s="24" t="n"/>
      <c r="S329" s="27" t="n"/>
      <c r="T329" s="28">
        <f>IF(Q329="","",IF(Q329="SUCCESS",1,0))</f>
        <v/>
      </c>
      <c r="U329" s="29">
        <f>IF(OR(N329="",Q329&lt;&gt;"SUCCESS"),"",N329-SUM(I329:M329))</f>
        <v/>
      </c>
      <c r="V329" s="30">
        <f>IF(OR(N329="",N329=0,L329=""),"",L329/N329)</f>
        <v/>
      </c>
      <c r="W329" s="29">
        <f>IF(OR(N329="",G329="",G329=0),"",N329/(G329/60))</f>
        <v/>
      </c>
    </row>
    <row r="330">
      <c r="A330" s="22" t="n"/>
      <c r="B330" s="23" t="n"/>
      <c r="C330" s="24" t="n"/>
      <c r="D330" s="24" t="n"/>
      <c r="E330" s="24" t="n"/>
      <c r="F330" s="22" t="n"/>
      <c r="G330" s="25" t="n"/>
      <c r="H330" s="26" t="n"/>
      <c r="I330" s="26" t="n"/>
      <c r="J330" s="26" t="n"/>
      <c r="K330" s="26" t="n"/>
      <c r="L330" s="26" t="n"/>
      <c r="M330" s="26" t="n"/>
      <c r="N330" s="26" t="n"/>
      <c r="O330" s="26" t="n"/>
      <c r="P330" s="22" t="n"/>
      <c r="Q330" s="24" t="n"/>
      <c r="R330" s="24" t="n"/>
      <c r="S330" s="27" t="n"/>
      <c r="T330" s="28">
        <f>IF(Q330="","",IF(Q330="SUCCESS",1,0))</f>
        <v/>
      </c>
      <c r="U330" s="29">
        <f>IF(OR(N330="",Q330&lt;&gt;"SUCCESS"),"",N330-SUM(I330:M330))</f>
        <v/>
      </c>
      <c r="V330" s="30">
        <f>IF(OR(N330="",N330=0,L330=""),"",L330/N330)</f>
        <v/>
      </c>
      <c r="W330" s="29">
        <f>IF(OR(N330="",G330="",G330=0),"",N330/(G330/60))</f>
        <v/>
      </c>
    </row>
    <row r="331">
      <c r="A331" s="22" t="n"/>
      <c r="B331" s="23" t="n"/>
      <c r="C331" s="24" t="n"/>
      <c r="D331" s="24" t="n"/>
      <c r="E331" s="24" t="n"/>
      <c r="F331" s="22" t="n"/>
      <c r="G331" s="25" t="n"/>
      <c r="H331" s="26" t="n"/>
      <c r="I331" s="26" t="n"/>
      <c r="J331" s="26" t="n"/>
      <c r="K331" s="26" t="n"/>
      <c r="L331" s="26" t="n"/>
      <c r="M331" s="26" t="n"/>
      <c r="N331" s="26" t="n"/>
      <c r="O331" s="26" t="n"/>
      <c r="P331" s="22" t="n"/>
      <c r="Q331" s="24" t="n"/>
      <c r="R331" s="24" t="n"/>
      <c r="S331" s="27" t="n"/>
      <c r="T331" s="28">
        <f>IF(Q331="","",IF(Q331="SUCCESS",1,0))</f>
        <v/>
      </c>
      <c r="U331" s="29">
        <f>IF(OR(N331="",Q331&lt;&gt;"SUCCESS"),"",N331-SUM(I331:M331))</f>
        <v/>
      </c>
      <c r="V331" s="30">
        <f>IF(OR(N331="",N331=0,L331=""),"",L331/N331)</f>
        <v/>
      </c>
      <c r="W331" s="29">
        <f>IF(OR(N331="",G331="",G331=0),"",N331/(G331/60))</f>
        <v/>
      </c>
    </row>
    <row r="332">
      <c r="A332" s="22" t="n"/>
      <c r="B332" s="23" t="n"/>
      <c r="C332" s="24" t="n"/>
      <c r="D332" s="24" t="n"/>
      <c r="E332" s="24" t="n"/>
      <c r="F332" s="22" t="n"/>
      <c r="G332" s="25" t="n"/>
      <c r="H332" s="26" t="n"/>
      <c r="I332" s="26" t="n"/>
      <c r="J332" s="26" t="n"/>
      <c r="K332" s="26" t="n"/>
      <c r="L332" s="26" t="n"/>
      <c r="M332" s="26" t="n"/>
      <c r="N332" s="26" t="n"/>
      <c r="O332" s="26" t="n"/>
      <c r="P332" s="22" t="n"/>
      <c r="Q332" s="24" t="n"/>
      <c r="R332" s="24" t="n"/>
      <c r="S332" s="27" t="n"/>
      <c r="T332" s="28">
        <f>IF(Q332="","",IF(Q332="SUCCESS",1,0))</f>
        <v/>
      </c>
      <c r="U332" s="29">
        <f>IF(OR(N332="",Q332&lt;&gt;"SUCCESS"),"",N332-SUM(I332:M332))</f>
        <v/>
      </c>
      <c r="V332" s="30">
        <f>IF(OR(N332="",N332=0,L332=""),"",L332/N332)</f>
        <v/>
      </c>
      <c r="W332" s="29">
        <f>IF(OR(N332="",G332="",G332=0),"",N332/(G332/60))</f>
        <v/>
      </c>
    </row>
    <row r="333">
      <c r="A333" s="22" t="n"/>
      <c r="B333" s="23" t="n"/>
      <c r="C333" s="24" t="n"/>
      <c r="D333" s="24" t="n"/>
      <c r="E333" s="24" t="n"/>
      <c r="F333" s="22" t="n"/>
      <c r="G333" s="25" t="n"/>
      <c r="H333" s="26" t="n"/>
      <c r="I333" s="26" t="n"/>
      <c r="J333" s="26" t="n"/>
      <c r="K333" s="26" t="n"/>
      <c r="L333" s="26" t="n"/>
      <c r="M333" s="26" t="n"/>
      <c r="N333" s="26" t="n"/>
      <c r="O333" s="26" t="n"/>
      <c r="P333" s="22" t="n"/>
      <c r="Q333" s="24" t="n"/>
      <c r="R333" s="24" t="n"/>
      <c r="S333" s="27" t="n"/>
      <c r="T333" s="28">
        <f>IF(Q333="","",IF(Q333="SUCCESS",1,0))</f>
        <v/>
      </c>
      <c r="U333" s="29">
        <f>IF(OR(N333="",Q333&lt;&gt;"SUCCESS"),"",N333-SUM(I333:M333))</f>
        <v/>
      </c>
      <c r="V333" s="30">
        <f>IF(OR(N333="",N333=0,L333=""),"",L333/N333)</f>
        <v/>
      </c>
      <c r="W333" s="29">
        <f>IF(OR(N333="",G333="",G333=0),"",N333/(G333/60))</f>
        <v/>
      </c>
    </row>
    <row r="334">
      <c r="A334" s="22" t="n"/>
      <c r="B334" s="23" t="n"/>
      <c r="C334" s="24" t="n"/>
      <c r="D334" s="24" t="n"/>
      <c r="E334" s="24" t="n"/>
      <c r="F334" s="22" t="n"/>
      <c r="G334" s="25" t="n"/>
      <c r="H334" s="26" t="n"/>
      <c r="I334" s="26" t="n"/>
      <c r="J334" s="26" t="n"/>
      <c r="K334" s="26" t="n"/>
      <c r="L334" s="26" t="n"/>
      <c r="M334" s="26" t="n"/>
      <c r="N334" s="26" t="n"/>
      <c r="O334" s="26" t="n"/>
      <c r="P334" s="22" t="n"/>
      <c r="Q334" s="24" t="n"/>
      <c r="R334" s="24" t="n"/>
      <c r="S334" s="27" t="n"/>
      <c r="T334" s="28">
        <f>IF(Q334="","",IF(Q334="SUCCESS",1,0))</f>
        <v/>
      </c>
      <c r="U334" s="29">
        <f>IF(OR(N334="",Q334&lt;&gt;"SUCCESS"),"",N334-SUM(I334:M334))</f>
        <v/>
      </c>
      <c r="V334" s="30">
        <f>IF(OR(N334="",N334=0,L334=""),"",L334/N334)</f>
        <v/>
      </c>
      <c r="W334" s="29">
        <f>IF(OR(N334="",G334="",G334=0),"",N334/(G334/60))</f>
        <v/>
      </c>
    </row>
    <row r="335">
      <c r="A335" s="22" t="n"/>
      <c r="B335" s="23" t="n"/>
      <c r="C335" s="24" t="n"/>
      <c r="D335" s="24" t="n"/>
      <c r="E335" s="24" t="n"/>
      <c r="F335" s="22" t="n"/>
      <c r="G335" s="25" t="n"/>
      <c r="H335" s="26" t="n"/>
      <c r="I335" s="26" t="n"/>
      <c r="J335" s="26" t="n"/>
      <c r="K335" s="26" t="n"/>
      <c r="L335" s="26" t="n"/>
      <c r="M335" s="26" t="n"/>
      <c r="N335" s="26" t="n"/>
      <c r="O335" s="26" t="n"/>
      <c r="P335" s="22" t="n"/>
      <c r="Q335" s="24" t="n"/>
      <c r="R335" s="24" t="n"/>
      <c r="S335" s="27" t="n"/>
      <c r="T335" s="28">
        <f>IF(Q335="","",IF(Q335="SUCCESS",1,0))</f>
        <v/>
      </c>
      <c r="U335" s="29">
        <f>IF(OR(N335="",Q335&lt;&gt;"SUCCESS"),"",N335-SUM(I335:M335))</f>
        <v/>
      </c>
      <c r="V335" s="30">
        <f>IF(OR(N335="",N335=0,L335=""),"",L335/N335)</f>
        <v/>
      </c>
      <c r="W335" s="29">
        <f>IF(OR(N335="",G335="",G335=0),"",N335/(G335/60))</f>
        <v/>
      </c>
    </row>
    <row r="336">
      <c r="A336" s="22" t="n"/>
      <c r="B336" s="23" t="n"/>
      <c r="C336" s="24" t="n"/>
      <c r="D336" s="24" t="n"/>
      <c r="E336" s="24" t="n"/>
      <c r="F336" s="22" t="n"/>
      <c r="G336" s="25" t="n"/>
      <c r="H336" s="26" t="n"/>
      <c r="I336" s="26" t="n"/>
      <c r="J336" s="26" t="n"/>
      <c r="K336" s="26" t="n"/>
      <c r="L336" s="26" t="n"/>
      <c r="M336" s="26" t="n"/>
      <c r="N336" s="26" t="n"/>
      <c r="O336" s="26" t="n"/>
      <c r="P336" s="22" t="n"/>
      <c r="Q336" s="24" t="n"/>
      <c r="R336" s="24" t="n"/>
      <c r="S336" s="27" t="n"/>
      <c r="T336" s="28">
        <f>IF(Q336="","",IF(Q336="SUCCESS",1,0))</f>
        <v/>
      </c>
      <c r="U336" s="29">
        <f>IF(OR(N336="",Q336&lt;&gt;"SUCCESS"),"",N336-SUM(I336:M336))</f>
        <v/>
      </c>
      <c r="V336" s="30">
        <f>IF(OR(N336="",N336=0,L336=""),"",L336/N336)</f>
        <v/>
      </c>
      <c r="W336" s="29">
        <f>IF(OR(N336="",G336="",G336=0),"",N336/(G336/60))</f>
        <v/>
      </c>
    </row>
    <row r="337">
      <c r="A337" s="22" t="n"/>
      <c r="B337" s="23" t="n"/>
      <c r="C337" s="24" t="n"/>
      <c r="D337" s="24" t="n"/>
      <c r="E337" s="24" t="n"/>
      <c r="F337" s="22" t="n"/>
      <c r="G337" s="25" t="n"/>
      <c r="H337" s="26" t="n"/>
      <c r="I337" s="26" t="n"/>
      <c r="J337" s="26" t="n"/>
      <c r="K337" s="26" t="n"/>
      <c r="L337" s="26" t="n"/>
      <c r="M337" s="26" t="n"/>
      <c r="N337" s="26" t="n"/>
      <c r="O337" s="26" t="n"/>
      <c r="P337" s="22" t="n"/>
      <c r="Q337" s="24" t="n"/>
      <c r="R337" s="24" t="n"/>
      <c r="S337" s="27" t="n"/>
      <c r="T337" s="28">
        <f>IF(Q337="","",IF(Q337="SUCCESS",1,0))</f>
        <v/>
      </c>
      <c r="U337" s="29">
        <f>IF(OR(N337="",Q337&lt;&gt;"SUCCESS"),"",N337-SUM(I337:M337))</f>
        <v/>
      </c>
      <c r="V337" s="30">
        <f>IF(OR(N337="",N337=0,L337=""),"",L337/N337)</f>
        <v/>
      </c>
      <c r="W337" s="29">
        <f>IF(OR(N337="",G337="",G337=0),"",N337/(G337/60))</f>
        <v/>
      </c>
    </row>
    <row r="338">
      <c r="A338" s="22" t="n"/>
      <c r="B338" s="23" t="n"/>
      <c r="C338" s="24" t="n"/>
      <c r="D338" s="24" t="n"/>
      <c r="E338" s="24" t="n"/>
      <c r="F338" s="22" t="n"/>
      <c r="G338" s="25" t="n"/>
      <c r="H338" s="26" t="n"/>
      <c r="I338" s="26" t="n"/>
      <c r="J338" s="26" t="n"/>
      <c r="K338" s="26" t="n"/>
      <c r="L338" s="26" t="n"/>
      <c r="M338" s="26" t="n"/>
      <c r="N338" s="26" t="n"/>
      <c r="O338" s="26" t="n"/>
      <c r="P338" s="22" t="n"/>
      <c r="Q338" s="24" t="n"/>
      <c r="R338" s="24" t="n"/>
      <c r="S338" s="27" t="n"/>
      <c r="T338" s="28">
        <f>IF(Q338="","",IF(Q338="SUCCESS",1,0))</f>
        <v/>
      </c>
      <c r="U338" s="29">
        <f>IF(OR(N338="",Q338&lt;&gt;"SUCCESS"),"",N338-SUM(I338:M338))</f>
        <v/>
      </c>
      <c r="V338" s="30">
        <f>IF(OR(N338="",N338=0,L338=""),"",L338/N338)</f>
        <v/>
      </c>
      <c r="W338" s="29">
        <f>IF(OR(N338="",G338="",G338=0),"",N338/(G338/60))</f>
        <v/>
      </c>
    </row>
    <row r="339">
      <c r="A339" s="22" t="n"/>
      <c r="B339" s="23" t="n"/>
      <c r="C339" s="24" t="n"/>
      <c r="D339" s="24" t="n"/>
      <c r="E339" s="24" t="n"/>
      <c r="F339" s="22" t="n"/>
      <c r="G339" s="25" t="n"/>
      <c r="H339" s="26" t="n"/>
      <c r="I339" s="26" t="n"/>
      <c r="J339" s="26" t="n"/>
      <c r="K339" s="26" t="n"/>
      <c r="L339" s="26" t="n"/>
      <c r="M339" s="26" t="n"/>
      <c r="N339" s="26" t="n"/>
      <c r="O339" s="26" t="n"/>
      <c r="P339" s="22" t="n"/>
      <c r="Q339" s="24" t="n"/>
      <c r="R339" s="24" t="n"/>
      <c r="S339" s="27" t="n"/>
      <c r="T339" s="28">
        <f>IF(Q339="","",IF(Q339="SUCCESS",1,0))</f>
        <v/>
      </c>
      <c r="U339" s="29">
        <f>IF(OR(N339="",Q339&lt;&gt;"SUCCESS"),"",N339-SUM(I339:M339))</f>
        <v/>
      </c>
      <c r="V339" s="30">
        <f>IF(OR(N339="",N339=0,L339=""),"",L339/N339)</f>
        <v/>
      </c>
      <c r="W339" s="29">
        <f>IF(OR(N339="",G339="",G339=0),"",N339/(G339/60))</f>
        <v/>
      </c>
    </row>
    <row r="340">
      <c r="A340" s="22" t="n"/>
      <c r="B340" s="23" t="n"/>
      <c r="C340" s="24" t="n"/>
      <c r="D340" s="24" t="n"/>
      <c r="E340" s="24" t="n"/>
      <c r="F340" s="22" t="n"/>
      <c r="G340" s="25" t="n"/>
      <c r="H340" s="26" t="n"/>
      <c r="I340" s="26" t="n"/>
      <c r="J340" s="26" t="n"/>
      <c r="K340" s="26" t="n"/>
      <c r="L340" s="26" t="n"/>
      <c r="M340" s="26" t="n"/>
      <c r="N340" s="26" t="n"/>
      <c r="O340" s="26" t="n"/>
      <c r="P340" s="22" t="n"/>
      <c r="Q340" s="24" t="n"/>
      <c r="R340" s="24" t="n"/>
      <c r="S340" s="27" t="n"/>
      <c r="T340" s="28">
        <f>IF(Q340="","",IF(Q340="SUCCESS",1,0))</f>
        <v/>
      </c>
      <c r="U340" s="29">
        <f>IF(OR(N340="",Q340&lt;&gt;"SUCCESS"),"",N340-SUM(I340:M340))</f>
        <v/>
      </c>
      <c r="V340" s="30">
        <f>IF(OR(N340="",N340=0,L340=""),"",L340/N340)</f>
        <v/>
      </c>
      <c r="W340" s="29">
        <f>IF(OR(N340="",G340="",G340=0),"",N340/(G340/60))</f>
        <v/>
      </c>
    </row>
    <row r="341">
      <c r="A341" s="22" t="n"/>
      <c r="B341" s="23" t="n"/>
      <c r="C341" s="24" t="n"/>
      <c r="D341" s="24" t="n"/>
      <c r="E341" s="24" t="n"/>
      <c r="F341" s="22" t="n"/>
      <c r="G341" s="25" t="n"/>
      <c r="H341" s="26" t="n"/>
      <c r="I341" s="26" t="n"/>
      <c r="J341" s="26" t="n"/>
      <c r="K341" s="26" t="n"/>
      <c r="L341" s="26" t="n"/>
      <c r="M341" s="26" t="n"/>
      <c r="N341" s="26" t="n"/>
      <c r="O341" s="26" t="n"/>
      <c r="P341" s="22" t="n"/>
      <c r="Q341" s="24" t="n"/>
      <c r="R341" s="24" t="n"/>
      <c r="S341" s="27" t="n"/>
      <c r="T341" s="28">
        <f>IF(Q341="","",IF(Q341="SUCCESS",1,0))</f>
        <v/>
      </c>
      <c r="U341" s="29">
        <f>IF(OR(N341="",Q341&lt;&gt;"SUCCESS"),"",N341-SUM(I341:M341))</f>
        <v/>
      </c>
      <c r="V341" s="30">
        <f>IF(OR(N341="",N341=0,L341=""),"",L341/N341)</f>
        <v/>
      </c>
      <c r="W341" s="29">
        <f>IF(OR(N341="",G341="",G341=0),"",N341/(G341/60))</f>
        <v/>
      </c>
    </row>
    <row r="342">
      <c r="A342" s="22" t="n"/>
      <c r="B342" s="23" t="n"/>
      <c r="C342" s="24" t="n"/>
      <c r="D342" s="24" t="n"/>
      <c r="E342" s="24" t="n"/>
      <c r="F342" s="22" t="n"/>
      <c r="G342" s="25" t="n"/>
      <c r="H342" s="26" t="n"/>
      <c r="I342" s="26" t="n"/>
      <c r="J342" s="26" t="n"/>
      <c r="K342" s="26" t="n"/>
      <c r="L342" s="26" t="n"/>
      <c r="M342" s="26" t="n"/>
      <c r="N342" s="26" t="n"/>
      <c r="O342" s="26" t="n"/>
      <c r="P342" s="22" t="n"/>
      <c r="Q342" s="24" t="n"/>
      <c r="R342" s="24" t="n"/>
      <c r="S342" s="27" t="n"/>
      <c r="T342" s="28">
        <f>IF(Q342="","",IF(Q342="SUCCESS",1,0))</f>
        <v/>
      </c>
      <c r="U342" s="29">
        <f>IF(OR(N342="",Q342&lt;&gt;"SUCCESS"),"",N342-SUM(I342:M342))</f>
        <v/>
      </c>
      <c r="V342" s="30">
        <f>IF(OR(N342="",N342=0,L342=""),"",L342/N342)</f>
        <v/>
      </c>
      <c r="W342" s="29">
        <f>IF(OR(N342="",G342="",G342=0),"",N342/(G342/60))</f>
        <v/>
      </c>
    </row>
    <row r="343">
      <c r="A343" s="22" t="n"/>
      <c r="B343" s="23" t="n"/>
      <c r="C343" s="24" t="n"/>
      <c r="D343" s="24" t="n"/>
      <c r="E343" s="24" t="n"/>
      <c r="F343" s="22" t="n"/>
      <c r="G343" s="25" t="n"/>
      <c r="H343" s="26" t="n"/>
      <c r="I343" s="26" t="n"/>
      <c r="J343" s="26" t="n"/>
      <c r="K343" s="26" t="n"/>
      <c r="L343" s="26" t="n"/>
      <c r="M343" s="26" t="n"/>
      <c r="N343" s="26" t="n"/>
      <c r="O343" s="26" t="n"/>
      <c r="P343" s="22" t="n"/>
      <c r="Q343" s="24" t="n"/>
      <c r="R343" s="24" t="n"/>
      <c r="S343" s="27" t="n"/>
      <c r="T343" s="28">
        <f>IF(Q343="","",IF(Q343="SUCCESS",1,0))</f>
        <v/>
      </c>
      <c r="U343" s="29">
        <f>IF(OR(N343="",Q343&lt;&gt;"SUCCESS"),"",N343-SUM(I343:M343))</f>
        <v/>
      </c>
      <c r="V343" s="30">
        <f>IF(OR(N343="",N343=0,L343=""),"",L343/N343)</f>
        <v/>
      </c>
      <c r="W343" s="29">
        <f>IF(OR(N343="",G343="",G343=0),"",N343/(G343/60))</f>
        <v/>
      </c>
    </row>
    <row r="344">
      <c r="A344" s="22" t="n"/>
      <c r="B344" s="23" t="n"/>
      <c r="C344" s="24" t="n"/>
      <c r="D344" s="24" t="n"/>
      <c r="E344" s="24" t="n"/>
      <c r="F344" s="22" t="n"/>
      <c r="G344" s="25" t="n"/>
      <c r="H344" s="26" t="n"/>
      <c r="I344" s="26" t="n"/>
      <c r="J344" s="26" t="n"/>
      <c r="K344" s="26" t="n"/>
      <c r="L344" s="26" t="n"/>
      <c r="M344" s="26" t="n"/>
      <c r="N344" s="26" t="n"/>
      <c r="O344" s="26" t="n"/>
      <c r="P344" s="22" t="n"/>
      <c r="Q344" s="24" t="n"/>
      <c r="R344" s="24" t="n"/>
      <c r="S344" s="27" t="n"/>
      <c r="T344" s="28">
        <f>IF(Q344="","",IF(Q344="SUCCESS",1,0))</f>
        <v/>
      </c>
      <c r="U344" s="29">
        <f>IF(OR(N344="",Q344&lt;&gt;"SUCCESS"),"",N344-SUM(I344:M344))</f>
        <v/>
      </c>
      <c r="V344" s="30">
        <f>IF(OR(N344="",N344=0,L344=""),"",L344/N344)</f>
        <v/>
      </c>
      <c r="W344" s="29">
        <f>IF(OR(N344="",G344="",G344=0),"",N344/(G344/60))</f>
        <v/>
      </c>
    </row>
    <row r="345">
      <c r="A345" s="22" t="n"/>
      <c r="B345" s="23" t="n"/>
      <c r="C345" s="24" t="n"/>
      <c r="D345" s="24" t="n"/>
      <c r="E345" s="24" t="n"/>
      <c r="F345" s="22" t="n"/>
      <c r="G345" s="25" t="n"/>
      <c r="H345" s="26" t="n"/>
      <c r="I345" s="26" t="n"/>
      <c r="J345" s="26" t="n"/>
      <c r="K345" s="26" t="n"/>
      <c r="L345" s="26" t="n"/>
      <c r="M345" s="26" t="n"/>
      <c r="N345" s="26" t="n"/>
      <c r="O345" s="26" t="n"/>
      <c r="P345" s="22" t="n"/>
      <c r="Q345" s="24" t="n"/>
      <c r="R345" s="24" t="n"/>
      <c r="S345" s="27" t="n"/>
      <c r="T345" s="28">
        <f>IF(Q345="","",IF(Q345="SUCCESS",1,0))</f>
        <v/>
      </c>
      <c r="U345" s="29">
        <f>IF(OR(N345="",Q345&lt;&gt;"SUCCESS"),"",N345-SUM(I345:M345))</f>
        <v/>
      </c>
      <c r="V345" s="30">
        <f>IF(OR(N345="",N345=0,L345=""),"",L345/N345)</f>
        <v/>
      </c>
      <c r="W345" s="29">
        <f>IF(OR(N345="",G345="",G345=0),"",N345/(G345/60))</f>
        <v/>
      </c>
    </row>
    <row r="346">
      <c r="A346" s="22" t="n"/>
      <c r="B346" s="23" t="n"/>
      <c r="C346" s="24" t="n"/>
      <c r="D346" s="24" t="n"/>
      <c r="E346" s="24" t="n"/>
      <c r="F346" s="22" t="n"/>
      <c r="G346" s="25" t="n"/>
      <c r="H346" s="26" t="n"/>
      <c r="I346" s="26" t="n"/>
      <c r="J346" s="26" t="n"/>
      <c r="K346" s="26" t="n"/>
      <c r="L346" s="26" t="n"/>
      <c r="M346" s="26" t="n"/>
      <c r="N346" s="26" t="n"/>
      <c r="O346" s="26" t="n"/>
      <c r="P346" s="22" t="n"/>
      <c r="Q346" s="24" t="n"/>
      <c r="R346" s="24" t="n"/>
      <c r="S346" s="27" t="n"/>
      <c r="T346" s="28">
        <f>IF(Q346="","",IF(Q346="SUCCESS",1,0))</f>
        <v/>
      </c>
      <c r="U346" s="29">
        <f>IF(OR(N346="",Q346&lt;&gt;"SUCCESS"),"",N346-SUM(I346:M346))</f>
        <v/>
      </c>
      <c r="V346" s="30">
        <f>IF(OR(N346="",N346=0,L346=""),"",L346/N346)</f>
        <v/>
      </c>
      <c r="W346" s="29">
        <f>IF(OR(N346="",G346="",G346=0),"",N346/(G346/60))</f>
        <v/>
      </c>
    </row>
    <row r="347">
      <c r="A347" s="22" t="n"/>
      <c r="B347" s="23" t="n"/>
      <c r="C347" s="24" t="n"/>
      <c r="D347" s="24" t="n"/>
      <c r="E347" s="24" t="n"/>
      <c r="F347" s="22" t="n"/>
      <c r="G347" s="25" t="n"/>
      <c r="H347" s="26" t="n"/>
      <c r="I347" s="26" t="n"/>
      <c r="J347" s="26" t="n"/>
      <c r="K347" s="26" t="n"/>
      <c r="L347" s="26" t="n"/>
      <c r="M347" s="26" t="n"/>
      <c r="N347" s="26" t="n"/>
      <c r="O347" s="26" t="n"/>
      <c r="P347" s="22" t="n"/>
      <c r="Q347" s="24" t="n"/>
      <c r="R347" s="24" t="n"/>
      <c r="S347" s="27" t="n"/>
      <c r="T347" s="28">
        <f>IF(Q347="","",IF(Q347="SUCCESS",1,0))</f>
        <v/>
      </c>
      <c r="U347" s="29">
        <f>IF(OR(N347="",Q347&lt;&gt;"SUCCESS"),"",N347-SUM(I347:M347))</f>
        <v/>
      </c>
      <c r="V347" s="30">
        <f>IF(OR(N347="",N347=0,L347=""),"",L347/N347)</f>
        <v/>
      </c>
      <c r="W347" s="29">
        <f>IF(OR(N347="",G347="",G347=0),"",N347/(G347/60))</f>
        <v/>
      </c>
    </row>
    <row r="348">
      <c r="A348" s="22" t="n"/>
      <c r="B348" s="23" t="n"/>
      <c r="C348" s="24" t="n"/>
      <c r="D348" s="24" t="n"/>
      <c r="E348" s="24" t="n"/>
      <c r="F348" s="22" t="n"/>
      <c r="G348" s="25" t="n"/>
      <c r="H348" s="26" t="n"/>
      <c r="I348" s="26" t="n"/>
      <c r="J348" s="26" t="n"/>
      <c r="K348" s="26" t="n"/>
      <c r="L348" s="26" t="n"/>
      <c r="M348" s="26" t="n"/>
      <c r="N348" s="26" t="n"/>
      <c r="O348" s="26" t="n"/>
      <c r="P348" s="22" t="n"/>
      <c r="Q348" s="24" t="n"/>
      <c r="R348" s="24" t="n"/>
      <c r="S348" s="27" t="n"/>
      <c r="T348" s="28">
        <f>IF(Q348="","",IF(Q348="SUCCESS",1,0))</f>
        <v/>
      </c>
      <c r="U348" s="29">
        <f>IF(OR(N348="",Q348&lt;&gt;"SUCCESS"),"",N348-SUM(I348:M348))</f>
        <v/>
      </c>
      <c r="V348" s="30">
        <f>IF(OR(N348="",N348=0,L348=""),"",L348/N348)</f>
        <v/>
      </c>
      <c r="W348" s="29">
        <f>IF(OR(N348="",G348="",G348=0),"",N348/(G348/60))</f>
        <v/>
      </c>
    </row>
    <row r="349">
      <c r="A349" s="22" t="n"/>
      <c r="B349" s="23" t="n"/>
      <c r="C349" s="24" t="n"/>
      <c r="D349" s="24" t="n"/>
      <c r="E349" s="24" t="n"/>
      <c r="F349" s="22" t="n"/>
      <c r="G349" s="25" t="n"/>
      <c r="H349" s="26" t="n"/>
      <c r="I349" s="26" t="n"/>
      <c r="J349" s="26" t="n"/>
      <c r="K349" s="26" t="n"/>
      <c r="L349" s="26" t="n"/>
      <c r="M349" s="26" t="n"/>
      <c r="N349" s="26" t="n"/>
      <c r="O349" s="26" t="n"/>
      <c r="P349" s="22" t="n"/>
      <c r="Q349" s="24" t="n"/>
      <c r="R349" s="24" t="n"/>
      <c r="S349" s="27" t="n"/>
      <c r="T349" s="28">
        <f>IF(Q349="","",IF(Q349="SUCCESS",1,0))</f>
        <v/>
      </c>
      <c r="U349" s="29">
        <f>IF(OR(N349="",Q349&lt;&gt;"SUCCESS"),"",N349-SUM(I349:M349))</f>
        <v/>
      </c>
      <c r="V349" s="30">
        <f>IF(OR(N349="",N349=0,L349=""),"",L349/N349)</f>
        <v/>
      </c>
      <c r="W349" s="29">
        <f>IF(OR(N349="",G349="",G349=0),"",N349/(G349/60))</f>
        <v/>
      </c>
    </row>
    <row r="350">
      <c r="A350" s="22" t="n"/>
      <c r="B350" s="23" t="n"/>
      <c r="C350" s="24" t="n"/>
      <c r="D350" s="24" t="n"/>
      <c r="E350" s="24" t="n"/>
      <c r="F350" s="22" t="n"/>
      <c r="G350" s="25" t="n"/>
      <c r="H350" s="26" t="n"/>
      <c r="I350" s="26" t="n"/>
      <c r="J350" s="26" t="n"/>
      <c r="K350" s="26" t="n"/>
      <c r="L350" s="26" t="n"/>
      <c r="M350" s="26" t="n"/>
      <c r="N350" s="26" t="n"/>
      <c r="O350" s="26" t="n"/>
      <c r="P350" s="22" t="n"/>
      <c r="Q350" s="24" t="n"/>
      <c r="R350" s="24" t="n"/>
      <c r="S350" s="27" t="n"/>
      <c r="T350" s="28">
        <f>IF(Q350="","",IF(Q350="SUCCESS",1,0))</f>
        <v/>
      </c>
      <c r="U350" s="29">
        <f>IF(OR(N350="",Q350&lt;&gt;"SUCCESS"),"",N350-SUM(I350:M350))</f>
        <v/>
      </c>
      <c r="V350" s="30">
        <f>IF(OR(N350="",N350=0,L350=""),"",L350/N350)</f>
        <v/>
      </c>
      <c r="W350" s="29">
        <f>IF(OR(N350="",G350="",G350=0),"",N350/(G350/60))</f>
        <v/>
      </c>
    </row>
    <row r="351">
      <c r="A351" s="22" t="n"/>
      <c r="B351" s="23" t="n"/>
      <c r="C351" s="24" t="n"/>
      <c r="D351" s="24" t="n"/>
      <c r="E351" s="24" t="n"/>
      <c r="F351" s="22" t="n"/>
      <c r="G351" s="25" t="n"/>
      <c r="H351" s="26" t="n"/>
      <c r="I351" s="26" t="n"/>
      <c r="J351" s="26" t="n"/>
      <c r="K351" s="26" t="n"/>
      <c r="L351" s="26" t="n"/>
      <c r="M351" s="26" t="n"/>
      <c r="N351" s="26" t="n"/>
      <c r="O351" s="26" t="n"/>
      <c r="P351" s="22" t="n"/>
      <c r="Q351" s="24" t="n"/>
      <c r="R351" s="24" t="n"/>
      <c r="S351" s="27" t="n"/>
      <c r="T351" s="28">
        <f>IF(Q351="","",IF(Q351="SUCCESS",1,0))</f>
        <v/>
      </c>
      <c r="U351" s="29">
        <f>IF(OR(N351="",Q351&lt;&gt;"SUCCESS"),"",N351-SUM(I351:M351))</f>
        <v/>
      </c>
      <c r="V351" s="30">
        <f>IF(OR(N351="",N351=0,L351=""),"",L351/N351)</f>
        <v/>
      </c>
      <c r="W351" s="29">
        <f>IF(OR(N351="",G351="",G351=0),"",N351/(G351/60))</f>
        <v/>
      </c>
    </row>
    <row r="352">
      <c r="A352" s="22" t="n"/>
      <c r="B352" s="23" t="n"/>
      <c r="C352" s="24" t="n"/>
      <c r="D352" s="24" t="n"/>
      <c r="E352" s="24" t="n"/>
      <c r="F352" s="22" t="n"/>
      <c r="G352" s="25" t="n"/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2" t="n"/>
      <c r="Q352" s="24" t="n"/>
      <c r="R352" s="24" t="n"/>
      <c r="S352" s="27" t="n"/>
      <c r="T352" s="28">
        <f>IF(Q352="","",IF(Q352="SUCCESS",1,0))</f>
        <v/>
      </c>
      <c r="U352" s="29">
        <f>IF(OR(N352="",Q352&lt;&gt;"SUCCESS"),"",N352-SUM(I352:M352))</f>
        <v/>
      </c>
      <c r="V352" s="30">
        <f>IF(OR(N352="",N352=0,L352=""),"",L352/N352)</f>
        <v/>
      </c>
      <c r="W352" s="29">
        <f>IF(OR(N352="",G352="",G352=0),"",N352/(G352/60))</f>
        <v/>
      </c>
    </row>
    <row r="353">
      <c r="A353" s="22" t="n"/>
      <c r="B353" s="23" t="n"/>
      <c r="C353" s="24" t="n"/>
      <c r="D353" s="24" t="n"/>
      <c r="E353" s="24" t="n"/>
      <c r="F353" s="22" t="n"/>
      <c r="G353" s="25" t="n"/>
      <c r="H353" s="26" t="n"/>
      <c r="I353" s="26" t="n"/>
      <c r="J353" s="26" t="n"/>
      <c r="K353" s="26" t="n"/>
      <c r="L353" s="26" t="n"/>
      <c r="M353" s="26" t="n"/>
      <c r="N353" s="26" t="n"/>
      <c r="O353" s="26" t="n"/>
      <c r="P353" s="22" t="n"/>
      <c r="Q353" s="24" t="n"/>
      <c r="R353" s="24" t="n"/>
      <c r="S353" s="27" t="n"/>
      <c r="T353" s="28">
        <f>IF(Q353="","",IF(Q353="SUCCESS",1,0))</f>
        <v/>
      </c>
      <c r="U353" s="29">
        <f>IF(OR(N353="",Q353&lt;&gt;"SUCCESS"),"",N353-SUM(I353:M353))</f>
        <v/>
      </c>
      <c r="V353" s="30">
        <f>IF(OR(N353="",N353=0,L353=""),"",L353/N353)</f>
        <v/>
      </c>
      <c r="W353" s="29">
        <f>IF(OR(N353="",G353="",G353=0),"",N353/(G353/60))</f>
        <v/>
      </c>
    </row>
    <row r="354">
      <c r="A354" s="22" t="n"/>
      <c r="B354" s="23" t="n"/>
      <c r="C354" s="24" t="n"/>
      <c r="D354" s="24" t="n"/>
      <c r="E354" s="24" t="n"/>
      <c r="F354" s="22" t="n"/>
      <c r="G354" s="25" t="n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2" t="n"/>
      <c r="Q354" s="24" t="n"/>
      <c r="R354" s="24" t="n"/>
      <c r="S354" s="27" t="n"/>
      <c r="T354" s="28">
        <f>IF(Q354="","",IF(Q354="SUCCESS",1,0))</f>
        <v/>
      </c>
      <c r="U354" s="29">
        <f>IF(OR(N354="",Q354&lt;&gt;"SUCCESS"),"",N354-SUM(I354:M354))</f>
        <v/>
      </c>
      <c r="V354" s="30">
        <f>IF(OR(N354="",N354=0,L354=""),"",L354/N354)</f>
        <v/>
      </c>
      <c r="W354" s="29">
        <f>IF(OR(N354="",G354="",G354=0),"",N354/(G354/60))</f>
        <v/>
      </c>
    </row>
    <row r="355">
      <c r="A355" s="22" t="n"/>
      <c r="B355" s="23" t="n"/>
      <c r="C355" s="24" t="n"/>
      <c r="D355" s="24" t="n"/>
      <c r="E355" s="24" t="n"/>
      <c r="F355" s="22" t="n"/>
      <c r="G355" s="25" t="n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2" t="n"/>
      <c r="Q355" s="24" t="n"/>
      <c r="R355" s="24" t="n"/>
      <c r="S355" s="27" t="n"/>
      <c r="T355" s="28">
        <f>IF(Q355="","",IF(Q355="SUCCESS",1,0))</f>
        <v/>
      </c>
      <c r="U355" s="29">
        <f>IF(OR(N355="",Q355&lt;&gt;"SUCCESS"),"",N355-SUM(I355:M355))</f>
        <v/>
      </c>
      <c r="V355" s="30">
        <f>IF(OR(N355="",N355=0,L355=""),"",L355/N355)</f>
        <v/>
      </c>
      <c r="W355" s="29">
        <f>IF(OR(N355="",G355="",G355=0),"",N355/(G355/60))</f>
        <v/>
      </c>
    </row>
    <row r="356">
      <c r="A356" s="22" t="n"/>
      <c r="B356" s="23" t="n"/>
      <c r="C356" s="24" t="n"/>
      <c r="D356" s="24" t="n"/>
      <c r="E356" s="24" t="n"/>
      <c r="F356" s="22" t="n"/>
      <c r="G356" s="25" t="n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2" t="n"/>
      <c r="Q356" s="24" t="n"/>
      <c r="R356" s="24" t="n"/>
      <c r="S356" s="27" t="n"/>
      <c r="T356" s="28">
        <f>IF(Q356="","",IF(Q356="SUCCESS",1,0))</f>
        <v/>
      </c>
      <c r="U356" s="29">
        <f>IF(OR(N356="",Q356&lt;&gt;"SUCCESS"),"",N356-SUM(I356:M356))</f>
        <v/>
      </c>
      <c r="V356" s="30">
        <f>IF(OR(N356="",N356=0,L356=""),"",L356/N356)</f>
        <v/>
      </c>
      <c r="W356" s="29">
        <f>IF(OR(N356="",G356="",G356=0),"",N356/(G356/60))</f>
        <v/>
      </c>
    </row>
    <row r="357">
      <c r="A357" s="22" t="n"/>
      <c r="B357" s="23" t="n"/>
      <c r="C357" s="24" t="n"/>
      <c r="D357" s="24" t="n"/>
      <c r="E357" s="24" t="n"/>
      <c r="F357" s="22" t="n"/>
      <c r="G357" s="25" t="n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2" t="n"/>
      <c r="Q357" s="24" t="n"/>
      <c r="R357" s="24" t="n"/>
      <c r="S357" s="27" t="n"/>
      <c r="T357" s="28">
        <f>IF(Q357="","",IF(Q357="SUCCESS",1,0))</f>
        <v/>
      </c>
      <c r="U357" s="29">
        <f>IF(OR(N357="",Q357&lt;&gt;"SUCCESS"),"",N357-SUM(I357:M357))</f>
        <v/>
      </c>
      <c r="V357" s="30">
        <f>IF(OR(N357="",N357=0,L357=""),"",L357/N357)</f>
        <v/>
      </c>
      <c r="W357" s="29">
        <f>IF(OR(N357="",G357="",G357=0),"",N357/(G357/60))</f>
        <v/>
      </c>
    </row>
    <row r="358">
      <c r="A358" s="22" t="n"/>
      <c r="B358" s="23" t="n"/>
      <c r="C358" s="24" t="n"/>
      <c r="D358" s="24" t="n"/>
      <c r="E358" s="24" t="n"/>
      <c r="F358" s="22" t="n"/>
      <c r="G358" s="25" t="n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2" t="n"/>
      <c r="Q358" s="24" t="n"/>
      <c r="R358" s="24" t="n"/>
      <c r="S358" s="27" t="n"/>
      <c r="T358" s="28">
        <f>IF(Q358="","",IF(Q358="SUCCESS",1,0))</f>
        <v/>
      </c>
      <c r="U358" s="29">
        <f>IF(OR(N358="",Q358&lt;&gt;"SUCCESS"),"",N358-SUM(I358:M358))</f>
        <v/>
      </c>
      <c r="V358" s="30">
        <f>IF(OR(N358="",N358=0,L358=""),"",L358/N358)</f>
        <v/>
      </c>
      <c r="W358" s="29">
        <f>IF(OR(N358="",G358="",G358=0),"",N358/(G358/60))</f>
        <v/>
      </c>
    </row>
    <row r="359">
      <c r="A359" s="22" t="n"/>
      <c r="B359" s="23" t="n"/>
      <c r="C359" s="24" t="n"/>
      <c r="D359" s="24" t="n"/>
      <c r="E359" s="24" t="n"/>
      <c r="F359" s="22" t="n"/>
      <c r="G359" s="25" t="n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2" t="n"/>
      <c r="Q359" s="24" t="n"/>
      <c r="R359" s="24" t="n"/>
      <c r="S359" s="27" t="n"/>
      <c r="T359" s="28">
        <f>IF(Q359="","",IF(Q359="SUCCESS",1,0))</f>
        <v/>
      </c>
      <c r="U359" s="29">
        <f>IF(OR(N359="",Q359&lt;&gt;"SUCCESS"),"",N359-SUM(I359:M359))</f>
        <v/>
      </c>
      <c r="V359" s="30">
        <f>IF(OR(N359="",N359=0,L359=""),"",L359/N359)</f>
        <v/>
      </c>
      <c r="W359" s="29">
        <f>IF(OR(N359="",G359="",G359=0),"",N359/(G359/60))</f>
        <v/>
      </c>
    </row>
    <row r="360">
      <c r="A360" s="22" t="n"/>
      <c r="B360" s="23" t="n"/>
      <c r="C360" s="24" t="n"/>
      <c r="D360" s="24" t="n"/>
      <c r="E360" s="24" t="n"/>
      <c r="F360" s="22" t="n"/>
      <c r="G360" s="25" t="n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2" t="n"/>
      <c r="Q360" s="24" t="n"/>
      <c r="R360" s="24" t="n"/>
      <c r="S360" s="27" t="n"/>
      <c r="T360" s="28">
        <f>IF(Q360="","",IF(Q360="SUCCESS",1,0))</f>
        <v/>
      </c>
      <c r="U360" s="29">
        <f>IF(OR(N360="",Q360&lt;&gt;"SUCCESS"),"",N360-SUM(I360:M360))</f>
        <v/>
      </c>
      <c r="V360" s="30">
        <f>IF(OR(N360="",N360=0,L360=""),"",L360/N360)</f>
        <v/>
      </c>
      <c r="W360" s="29">
        <f>IF(OR(N360="",G360="",G360=0),"",N360/(G360/60))</f>
        <v/>
      </c>
    </row>
    <row r="361">
      <c r="A361" s="22" t="n"/>
      <c r="B361" s="23" t="n"/>
      <c r="C361" s="24" t="n"/>
      <c r="D361" s="24" t="n"/>
      <c r="E361" s="24" t="n"/>
      <c r="F361" s="22" t="n"/>
      <c r="G361" s="25" t="n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2" t="n"/>
      <c r="Q361" s="24" t="n"/>
      <c r="R361" s="24" t="n"/>
      <c r="S361" s="27" t="n"/>
      <c r="T361" s="28">
        <f>IF(Q361="","",IF(Q361="SUCCESS",1,0))</f>
        <v/>
      </c>
      <c r="U361" s="29">
        <f>IF(OR(N361="",Q361&lt;&gt;"SUCCESS"),"",N361-SUM(I361:M361))</f>
        <v/>
      </c>
      <c r="V361" s="30">
        <f>IF(OR(N361="",N361=0,L361=""),"",L361/N361)</f>
        <v/>
      </c>
      <c r="W361" s="29">
        <f>IF(OR(N361="",G361="",G361=0),"",N361/(G361/60))</f>
        <v/>
      </c>
    </row>
    <row r="362">
      <c r="A362" s="22" t="n"/>
      <c r="B362" s="23" t="n"/>
      <c r="C362" s="24" t="n"/>
      <c r="D362" s="24" t="n"/>
      <c r="E362" s="24" t="n"/>
      <c r="F362" s="22" t="n"/>
      <c r="G362" s="25" t="n"/>
      <c r="H362" s="26" t="n"/>
      <c r="I362" s="26" t="n"/>
      <c r="J362" s="26" t="n"/>
      <c r="K362" s="26" t="n"/>
      <c r="L362" s="26" t="n"/>
      <c r="M362" s="26" t="n"/>
      <c r="N362" s="26" t="n"/>
      <c r="O362" s="26" t="n"/>
      <c r="P362" s="22" t="n"/>
      <c r="Q362" s="24" t="n"/>
      <c r="R362" s="24" t="n"/>
      <c r="S362" s="27" t="n"/>
      <c r="T362" s="28">
        <f>IF(Q362="","",IF(Q362="SUCCESS",1,0))</f>
        <v/>
      </c>
      <c r="U362" s="29">
        <f>IF(OR(N362="",Q362&lt;&gt;"SUCCESS"),"",N362-SUM(I362:M362))</f>
        <v/>
      </c>
      <c r="V362" s="30">
        <f>IF(OR(N362="",N362=0,L362=""),"",L362/N362)</f>
        <v/>
      </c>
      <c r="W362" s="29">
        <f>IF(OR(N362="",G362="",G362=0),"",N362/(G362/60))</f>
        <v/>
      </c>
    </row>
    <row r="363">
      <c r="A363" s="22" t="n"/>
      <c r="B363" s="23" t="n"/>
      <c r="C363" s="24" t="n"/>
      <c r="D363" s="24" t="n"/>
      <c r="E363" s="24" t="n"/>
      <c r="F363" s="22" t="n"/>
      <c r="G363" s="25" t="n"/>
      <c r="H363" s="26" t="n"/>
      <c r="I363" s="26" t="n"/>
      <c r="J363" s="26" t="n"/>
      <c r="K363" s="26" t="n"/>
      <c r="L363" s="26" t="n"/>
      <c r="M363" s="26" t="n"/>
      <c r="N363" s="26" t="n"/>
      <c r="O363" s="26" t="n"/>
      <c r="P363" s="22" t="n"/>
      <c r="Q363" s="24" t="n"/>
      <c r="R363" s="24" t="n"/>
      <c r="S363" s="27" t="n"/>
      <c r="T363" s="28">
        <f>IF(Q363="","",IF(Q363="SUCCESS",1,0))</f>
        <v/>
      </c>
      <c r="U363" s="29">
        <f>IF(OR(N363="",Q363&lt;&gt;"SUCCESS"),"",N363-SUM(I363:M363))</f>
        <v/>
      </c>
      <c r="V363" s="30">
        <f>IF(OR(N363="",N363=0,L363=""),"",L363/N363)</f>
        <v/>
      </c>
      <c r="W363" s="29">
        <f>IF(OR(N363="",G363="",G363=0),"",N363/(G363/60))</f>
        <v/>
      </c>
    </row>
    <row r="364">
      <c r="A364" s="22" t="n"/>
      <c r="B364" s="23" t="n"/>
      <c r="C364" s="24" t="n"/>
      <c r="D364" s="24" t="n"/>
      <c r="E364" s="24" t="n"/>
      <c r="F364" s="22" t="n"/>
      <c r="G364" s="25" t="n"/>
      <c r="H364" s="26" t="n"/>
      <c r="I364" s="26" t="n"/>
      <c r="J364" s="26" t="n"/>
      <c r="K364" s="26" t="n"/>
      <c r="L364" s="26" t="n"/>
      <c r="M364" s="26" t="n"/>
      <c r="N364" s="26" t="n"/>
      <c r="O364" s="26" t="n"/>
      <c r="P364" s="22" t="n"/>
      <c r="Q364" s="24" t="n"/>
      <c r="R364" s="24" t="n"/>
      <c r="S364" s="27" t="n"/>
      <c r="T364" s="28">
        <f>IF(Q364="","",IF(Q364="SUCCESS",1,0))</f>
        <v/>
      </c>
      <c r="U364" s="29">
        <f>IF(OR(N364="",Q364&lt;&gt;"SUCCESS"),"",N364-SUM(I364:M364))</f>
        <v/>
      </c>
      <c r="V364" s="30">
        <f>IF(OR(N364="",N364=0,L364=""),"",L364/N364)</f>
        <v/>
      </c>
      <c r="W364" s="29">
        <f>IF(OR(N364="",G364="",G364=0),"",N364/(G364/60))</f>
        <v/>
      </c>
    </row>
    <row r="365">
      <c r="A365" s="22" t="n"/>
      <c r="B365" s="23" t="n"/>
      <c r="C365" s="24" t="n"/>
      <c r="D365" s="24" t="n"/>
      <c r="E365" s="24" t="n"/>
      <c r="F365" s="22" t="n"/>
      <c r="G365" s="25" t="n"/>
      <c r="H365" s="26" t="n"/>
      <c r="I365" s="26" t="n"/>
      <c r="J365" s="26" t="n"/>
      <c r="K365" s="26" t="n"/>
      <c r="L365" s="26" t="n"/>
      <c r="M365" s="26" t="n"/>
      <c r="N365" s="26" t="n"/>
      <c r="O365" s="26" t="n"/>
      <c r="P365" s="22" t="n"/>
      <c r="Q365" s="24" t="n"/>
      <c r="R365" s="24" t="n"/>
      <c r="S365" s="27" t="n"/>
      <c r="T365" s="28">
        <f>IF(Q365="","",IF(Q365="SUCCESS",1,0))</f>
        <v/>
      </c>
      <c r="U365" s="29">
        <f>IF(OR(N365="",Q365&lt;&gt;"SUCCESS"),"",N365-SUM(I365:M365))</f>
        <v/>
      </c>
      <c r="V365" s="30">
        <f>IF(OR(N365="",N365=0,L365=""),"",L365/N365)</f>
        <v/>
      </c>
      <c r="W365" s="29">
        <f>IF(OR(N365="",G365="",G365=0),"",N365/(G365/60))</f>
        <v/>
      </c>
    </row>
    <row r="366">
      <c r="A366" s="22" t="n"/>
      <c r="B366" s="23" t="n"/>
      <c r="C366" s="24" t="n"/>
      <c r="D366" s="24" t="n"/>
      <c r="E366" s="24" t="n"/>
      <c r="F366" s="22" t="n"/>
      <c r="G366" s="25" t="n"/>
      <c r="H366" s="26" t="n"/>
      <c r="I366" s="26" t="n"/>
      <c r="J366" s="26" t="n"/>
      <c r="K366" s="26" t="n"/>
      <c r="L366" s="26" t="n"/>
      <c r="M366" s="26" t="n"/>
      <c r="N366" s="26" t="n"/>
      <c r="O366" s="26" t="n"/>
      <c r="P366" s="22" t="n"/>
      <c r="Q366" s="24" t="n"/>
      <c r="R366" s="24" t="n"/>
      <c r="S366" s="27" t="n"/>
      <c r="T366" s="28">
        <f>IF(Q366="","",IF(Q366="SUCCESS",1,0))</f>
        <v/>
      </c>
      <c r="U366" s="29">
        <f>IF(OR(N366="",Q366&lt;&gt;"SUCCESS"),"",N366-SUM(I366:M366))</f>
        <v/>
      </c>
      <c r="V366" s="30">
        <f>IF(OR(N366="",N366=0,L366=""),"",L366/N366)</f>
        <v/>
      </c>
      <c r="W366" s="29">
        <f>IF(OR(N366="",G366="",G366=0),"",N366/(G366/60))</f>
        <v/>
      </c>
    </row>
    <row r="367">
      <c r="A367" s="22" t="n"/>
      <c r="B367" s="23" t="n"/>
      <c r="C367" s="24" t="n"/>
      <c r="D367" s="24" t="n"/>
      <c r="E367" s="24" t="n"/>
      <c r="F367" s="22" t="n"/>
      <c r="G367" s="25" t="n"/>
      <c r="H367" s="26" t="n"/>
      <c r="I367" s="26" t="n"/>
      <c r="J367" s="26" t="n"/>
      <c r="K367" s="26" t="n"/>
      <c r="L367" s="26" t="n"/>
      <c r="M367" s="26" t="n"/>
      <c r="N367" s="26" t="n"/>
      <c r="O367" s="26" t="n"/>
      <c r="P367" s="22" t="n"/>
      <c r="Q367" s="24" t="n"/>
      <c r="R367" s="24" t="n"/>
      <c r="S367" s="27" t="n"/>
      <c r="T367" s="28">
        <f>IF(Q367="","",IF(Q367="SUCCESS",1,0))</f>
        <v/>
      </c>
      <c r="U367" s="29">
        <f>IF(OR(N367="",Q367&lt;&gt;"SUCCESS"),"",N367-SUM(I367:M367))</f>
        <v/>
      </c>
      <c r="V367" s="30">
        <f>IF(OR(N367="",N367=0,L367=""),"",L367/N367)</f>
        <v/>
      </c>
      <c r="W367" s="29">
        <f>IF(OR(N367="",G367="",G367=0),"",N367/(G367/60))</f>
        <v/>
      </c>
    </row>
    <row r="368">
      <c r="A368" s="22" t="n"/>
      <c r="B368" s="23" t="n"/>
      <c r="C368" s="24" t="n"/>
      <c r="D368" s="24" t="n"/>
      <c r="E368" s="24" t="n"/>
      <c r="F368" s="22" t="n"/>
      <c r="G368" s="25" t="n"/>
      <c r="H368" s="26" t="n"/>
      <c r="I368" s="26" t="n"/>
      <c r="J368" s="26" t="n"/>
      <c r="K368" s="26" t="n"/>
      <c r="L368" s="26" t="n"/>
      <c r="M368" s="26" t="n"/>
      <c r="N368" s="26" t="n"/>
      <c r="O368" s="26" t="n"/>
      <c r="P368" s="22" t="n"/>
      <c r="Q368" s="24" t="n"/>
      <c r="R368" s="24" t="n"/>
      <c r="S368" s="27" t="n"/>
      <c r="T368" s="28">
        <f>IF(Q368="","",IF(Q368="SUCCESS",1,0))</f>
        <v/>
      </c>
      <c r="U368" s="29">
        <f>IF(OR(N368="",Q368&lt;&gt;"SUCCESS"),"",N368-SUM(I368:M368))</f>
        <v/>
      </c>
      <c r="V368" s="30">
        <f>IF(OR(N368="",N368=0,L368=""),"",L368/N368)</f>
        <v/>
      </c>
      <c r="W368" s="29">
        <f>IF(OR(N368="",G368="",G368=0),"",N368/(G368/60))</f>
        <v/>
      </c>
    </row>
    <row r="369">
      <c r="A369" s="22" t="n"/>
      <c r="B369" s="23" t="n"/>
      <c r="C369" s="24" t="n"/>
      <c r="D369" s="24" t="n"/>
      <c r="E369" s="24" t="n"/>
      <c r="F369" s="22" t="n"/>
      <c r="G369" s="25" t="n"/>
      <c r="H369" s="26" t="n"/>
      <c r="I369" s="26" t="n"/>
      <c r="J369" s="26" t="n"/>
      <c r="K369" s="26" t="n"/>
      <c r="L369" s="26" t="n"/>
      <c r="M369" s="26" t="n"/>
      <c r="N369" s="26" t="n"/>
      <c r="O369" s="26" t="n"/>
      <c r="P369" s="22" t="n"/>
      <c r="Q369" s="24" t="n"/>
      <c r="R369" s="24" t="n"/>
      <c r="S369" s="27" t="n"/>
      <c r="T369" s="28">
        <f>IF(Q369="","",IF(Q369="SUCCESS",1,0))</f>
        <v/>
      </c>
      <c r="U369" s="29">
        <f>IF(OR(N369="",Q369&lt;&gt;"SUCCESS"),"",N369-SUM(I369:M369))</f>
        <v/>
      </c>
      <c r="V369" s="30">
        <f>IF(OR(N369="",N369=0,L369=""),"",L369/N369)</f>
        <v/>
      </c>
      <c r="W369" s="29">
        <f>IF(OR(N369="",G369="",G369=0),"",N369/(G369/60))</f>
        <v/>
      </c>
    </row>
    <row r="370">
      <c r="A370" s="22" t="n"/>
      <c r="B370" s="23" t="n"/>
      <c r="C370" s="24" t="n"/>
      <c r="D370" s="24" t="n"/>
      <c r="E370" s="24" t="n"/>
      <c r="F370" s="22" t="n"/>
      <c r="G370" s="25" t="n"/>
      <c r="H370" s="26" t="n"/>
      <c r="I370" s="26" t="n"/>
      <c r="J370" s="26" t="n"/>
      <c r="K370" s="26" t="n"/>
      <c r="L370" s="26" t="n"/>
      <c r="M370" s="26" t="n"/>
      <c r="N370" s="26" t="n"/>
      <c r="O370" s="26" t="n"/>
      <c r="P370" s="22" t="n"/>
      <c r="Q370" s="24" t="n"/>
      <c r="R370" s="24" t="n"/>
      <c r="S370" s="27" t="n"/>
      <c r="T370" s="28">
        <f>IF(Q370="","",IF(Q370="SUCCESS",1,0))</f>
        <v/>
      </c>
      <c r="U370" s="29">
        <f>IF(OR(N370="",Q370&lt;&gt;"SUCCESS"),"",N370-SUM(I370:M370))</f>
        <v/>
      </c>
      <c r="V370" s="30">
        <f>IF(OR(N370="",N370=0,L370=""),"",L370/N370)</f>
        <v/>
      </c>
      <c r="W370" s="29">
        <f>IF(OR(N370="",G370="",G370=0),"",N370/(G370/60))</f>
        <v/>
      </c>
    </row>
    <row r="371">
      <c r="A371" s="22" t="n"/>
      <c r="B371" s="23" t="n"/>
      <c r="C371" s="24" t="n"/>
      <c r="D371" s="24" t="n"/>
      <c r="E371" s="24" t="n"/>
      <c r="F371" s="22" t="n"/>
      <c r="G371" s="25" t="n"/>
      <c r="H371" s="26" t="n"/>
      <c r="I371" s="26" t="n"/>
      <c r="J371" s="26" t="n"/>
      <c r="K371" s="26" t="n"/>
      <c r="L371" s="26" t="n"/>
      <c r="M371" s="26" t="n"/>
      <c r="N371" s="26" t="n"/>
      <c r="O371" s="26" t="n"/>
      <c r="P371" s="22" t="n"/>
      <c r="Q371" s="24" t="n"/>
      <c r="R371" s="24" t="n"/>
      <c r="S371" s="27" t="n"/>
      <c r="T371" s="28">
        <f>IF(Q371="","",IF(Q371="SUCCESS",1,0))</f>
        <v/>
      </c>
      <c r="U371" s="29">
        <f>IF(OR(N371="",Q371&lt;&gt;"SUCCESS"),"",N371-SUM(I371:M371))</f>
        <v/>
      </c>
      <c r="V371" s="30">
        <f>IF(OR(N371="",N371=0,L371=""),"",L371/N371)</f>
        <v/>
      </c>
      <c r="W371" s="29">
        <f>IF(OR(N371="",G371="",G371=0),"",N371/(G371/60))</f>
        <v/>
      </c>
    </row>
    <row r="372">
      <c r="A372" s="22" t="n"/>
      <c r="B372" s="23" t="n"/>
      <c r="C372" s="24" t="n"/>
      <c r="D372" s="24" t="n"/>
      <c r="E372" s="24" t="n"/>
      <c r="F372" s="22" t="n"/>
      <c r="G372" s="25" t="n"/>
      <c r="H372" s="26" t="n"/>
      <c r="I372" s="26" t="n"/>
      <c r="J372" s="26" t="n"/>
      <c r="K372" s="26" t="n"/>
      <c r="L372" s="26" t="n"/>
      <c r="M372" s="26" t="n"/>
      <c r="N372" s="26" t="n"/>
      <c r="O372" s="26" t="n"/>
      <c r="P372" s="22" t="n"/>
      <c r="Q372" s="24" t="n"/>
      <c r="R372" s="24" t="n"/>
      <c r="S372" s="27" t="n"/>
      <c r="T372" s="28">
        <f>IF(Q372="","",IF(Q372="SUCCESS",1,0))</f>
        <v/>
      </c>
      <c r="U372" s="29">
        <f>IF(OR(N372="",Q372&lt;&gt;"SUCCESS"),"",N372-SUM(I372:M372))</f>
        <v/>
      </c>
      <c r="V372" s="30">
        <f>IF(OR(N372="",N372=0,L372=""),"",L372/N372)</f>
        <v/>
      </c>
      <c r="W372" s="29">
        <f>IF(OR(N372="",G372="",G372=0),"",N372/(G372/60))</f>
        <v/>
      </c>
    </row>
    <row r="373">
      <c r="A373" s="22" t="n"/>
      <c r="B373" s="23" t="n"/>
      <c r="C373" s="24" t="n"/>
      <c r="D373" s="24" t="n"/>
      <c r="E373" s="24" t="n"/>
      <c r="F373" s="22" t="n"/>
      <c r="G373" s="25" t="n"/>
      <c r="H373" s="26" t="n"/>
      <c r="I373" s="26" t="n"/>
      <c r="J373" s="26" t="n"/>
      <c r="K373" s="26" t="n"/>
      <c r="L373" s="26" t="n"/>
      <c r="M373" s="26" t="n"/>
      <c r="N373" s="26" t="n"/>
      <c r="O373" s="26" t="n"/>
      <c r="P373" s="22" t="n"/>
      <c r="Q373" s="24" t="n"/>
      <c r="R373" s="24" t="n"/>
      <c r="S373" s="27" t="n"/>
      <c r="T373" s="28">
        <f>IF(Q373="","",IF(Q373="SUCCESS",1,0))</f>
        <v/>
      </c>
      <c r="U373" s="29">
        <f>IF(OR(N373="",Q373&lt;&gt;"SUCCESS"),"",N373-SUM(I373:M373))</f>
        <v/>
      </c>
      <c r="V373" s="30">
        <f>IF(OR(N373="",N373=0,L373=""),"",L373/N373)</f>
        <v/>
      </c>
      <c r="W373" s="29">
        <f>IF(OR(N373="",G373="",G373=0),"",N373/(G373/60))</f>
        <v/>
      </c>
    </row>
    <row r="374">
      <c r="A374" s="22" t="n"/>
      <c r="B374" s="23" t="n"/>
      <c r="C374" s="24" t="n"/>
      <c r="D374" s="24" t="n"/>
      <c r="E374" s="24" t="n"/>
      <c r="F374" s="22" t="n"/>
      <c r="G374" s="25" t="n"/>
      <c r="H374" s="26" t="n"/>
      <c r="I374" s="26" t="n"/>
      <c r="J374" s="26" t="n"/>
      <c r="K374" s="26" t="n"/>
      <c r="L374" s="26" t="n"/>
      <c r="M374" s="26" t="n"/>
      <c r="N374" s="26" t="n"/>
      <c r="O374" s="26" t="n"/>
      <c r="P374" s="22" t="n"/>
      <c r="Q374" s="24" t="n"/>
      <c r="R374" s="24" t="n"/>
      <c r="S374" s="27" t="n"/>
      <c r="T374" s="28">
        <f>IF(Q374="","",IF(Q374="SUCCESS",1,0))</f>
        <v/>
      </c>
      <c r="U374" s="29">
        <f>IF(OR(N374="",Q374&lt;&gt;"SUCCESS"),"",N374-SUM(I374:M374))</f>
        <v/>
      </c>
      <c r="V374" s="30">
        <f>IF(OR(N374="",N374=0,L374=""),"",L374/N374)</f>
        <v/>
      </c>
      <c r="W374" s="29">
        <f>IF(OR(N374="",G374="",G374=0),"",N374/(G374/60))</f>
        <v/>
      </c>
    </row>
    <row r="375">
      <c r="A375" s="22" t="n"/>
      <c r="B375" s="23" t="n"/>
      <c r="C375" s="24" t="n"/>
      <c r="D375" s="24" t="n"/>
      <c r="E375" s="24" t="n"/>
      <c r="F375" s="22" t="n"/>
      <c r="G375" s="25" t="n"/>
      <c r="H375" s="26" t="n"/>
      <c r="I375" s="26" t="n"/>
      <c r="J375" s="26" t="n"/>
      <c r="K375" s="26" t="n"/>
      <c r="L375" s="26" t="n"/>
      <c r="M375" s="26" t="n"/>
      <c r="N375" s="26" t="n"/>
      <c r="O375" s="26" t="n"/>
      <c r="P375" s="22" t="n"/>
      <c r="Q375" s="24" t="n"/>
      <c r="R375" s="24" t="n"/>
      <c r="S375" s="27" t="n"/>
      <c r="T375" s="28">
        <f>IF(Q375="","",IF(Q375="SUCCESS",1,0))</f>
        <v/>
      </c>
      <c r="U375" s="29">
        <f>IF(OR(N375="",Q375&lt;&gt;"SUCCESS"),"",N375-SUM(I375:M375))</f>
        <v/>
      </c>
      <c r="V375" s="30">
        <f>IF(OR(N375="",N375=0,L375=""),"",L375/N375)</f>
        <v/>
      </c>
      <c r="W375" s="29">
        <f>IF(OR(N375="",G375="",G375=0),"",N375/(G375/60))</f>
        <v/>
      </c>
    </row>
    <row r="376">
      <c r="A376" s="22" t="n"/>
      <c r="B376" s="23" t="n"/>
      <c r="C376" s="24" t="n"/>
      <c r="D376" s="24" t="n"/>
      <c r="E376" s="24" t="n"/>
      <c r="F376" s="22" t="n"/>
      <c r="G376" s="25" t="n"/>
      <c r="H376" s="26" t="n"/>
      <c r="I376" s="26" t="n"/>
      <c r="J376" s="26" t="n"/>
      <c r="K376" s="26" t="n"/>
      <c r="L376" s="26" t="n"/>
      <c r="M376" s="26" t="n"/>
      <c r="N376" s="26" t="n"/>
      <c r="O376" s="26" t="n"/>
      <c r="P376" s="22" t="n"/>
      <c r="Q376" s="24" t="n"/>
      <c r="R376" s="24" t="n"/>
      <c r="S376" s="27" t="n"/>
      <c r="T376" s="28">
        <f>IF(Q376="","",IF(Q376="SUCCESS",1,0))</f>
        <v/>
      </c>
      <c r="U376" s="29">
        <f>IF(OR(N376="",Q376&lt;&gt;"SUCCESS"),"",N376-SUM(I376:M376))</f>
        <v/>
      </c>
      <c r="V376" s="30">
        <f>IF(OR(N376="",N376=0,L376=""),"",L376/N376)</f>
        <v/>
      </c>
      <c r="W376" s="29">
        <f>IF(OR(N376="",G376="",G376=0),"",N376/(G376/60))</f>
        <v/>
      </c>
    </row>
    <row r="377">
      <c r="A377" s="22" t="n"/>
      <c r="B377" s="23" t="n"/>
      <c r="C377" s="24" t="n"/>
      <c r="D377" s="24" t="n"/>
      <c r="E377" s="24" t="n"/>
      <c r="F377" s="22" t="n"/>
      <c r="G377" s="25" t="n"/>
      <c r="H377" s="26" t="n"/>
      <c r="I377" s="26" t="n"/>
      <c r="J377" s="26" t="n"/>
      <c r="K377" s="26" t="n"/>
      <c r="L377" s="26" t="n"/>
      <c r="M377" s="26" t="n"/>
      <c r="N377" s="26" t="n"/>
      <c r="O377" s="26" t="n"/>
      <c r="P377" s="22" t="n"/>
      <c r="Q377" s="24" t="n"/>
      <c r="R377" s="24" t="n"/>
      <c r="S377" s="27" t="n"/>
      <c r="T377" s="28">
        <f>IF(Q377="","",IF(Q377="SUCCESS",1,0))</f>
        <v/>
      </c>
      <c r="U377" s="29">
        <f>IF(OR(N377="",Q377&lt;&gt;"SUCCESS"),"",N377-SUM(I377:M377))</f>
        <v/>
      </c>
      <c r="V377" s="30">
        <f>IF(OR(N377="",N377=0,L377=""),"",L377/N377)</f>
        <v/>
      </c>
      <c r="W377" s="29">
        <f>IF(OR(N377="",G377="",G377=0),"",N377/(G377/60))</f>
        <v/>
      </c>
    </row>
    <row r="378">
      <c r="A378" s="22" t="n"/>
      <c r="B378" s="23" t="n"/>
      <c r="C378" s="24" t="n"/>
      <c r="D378" s="24" t="n"/>
      <c r="E378" s="24" t="n"/>
      <c r="F378" s="22" t="n"/>
      <c r="G378" s="25" t="n"/>
      <c r="H378" s="26" t="n"/>
      <c r="I378" s="26" t="n"/>
      <c r="J378" s="26" t="n"/>
      <c r="K378" s="26" t="n"/>
      <c r="L378" s="26" t="n"/>
      <c r="M378" s="26" t="n"/>
      <c r="N378" s="26" t="n"/>
      <c r="O378" s="26" t="n"/>
      <c r="P378" s="22" t="n"/>
      <c r="Q378" s="24" t="n"/>
      <c r="R378" s="24" t="n"/>
      <c r="S378" s="27" t="n"/>
      <c r="T378" s="28">
        <f>IF(Q378="","",IF(Q378="SUCCESS",1,0))</f>
        <v/>
      </c>
      <c r="U378" s="29">
        <f>IF(OR(N378="",Q378&lt;&gt;"SUCCESS"),"",N378-SUM(I378:M378))</f>
        <v/>
      </c>
      <c r="V378" s="30">
        <f>IF(OR(N378="",N378=0,L378=""),"",L378/N378)</f>
        <v/>
      </c>
      <c r="W378" s="29">
        <f>IF(OR(N378="",G378="",G378=0),"",N378/(G378/60))</f>
        <v/>
      </c>
    </row>
    <row r="379">
      <c r="A379" s="22" t="n"/>
      <c r="B379" s="23" t="n"/>
      <c r="C379" s="24" t="n"/>
      <c r="D379" s="24" t="n"/>
      <c r="E379" s="24" t="n"/>
      <c r="F379" s="22" t="n"/>
      <c r="G379" s="25" t="n"/>
      <c r="H379" s="26" t="n"/>
      <c r="I379" s="26" t="n"/>
      <c r="J379" s="26" t="n"/>
      <c r="K379" s="26" t="n"/>
      <c r="L379" s="26" t="n"/>
      <c r="M379" s="26" t="n"/>
      <c r="N379" s="26" t="n"/>
      <c r="O379" s="26" t="n"/>
      <c r="P379" s="22" t="n"/>
      <c r="Q379" s="24" t="n"/>
      <c r="R379" s="24" t="n"/>
      <c r="S379" s="27" t="n"/>
      <c r="T379" s="28">
        <f>IF(Q379="","",IF(Q379="SUCCESS",1,0))</f>
        <v/>
      </c>
      <c r="U379" s="29">
        <f>IF(OR(N379="",Q379&lt;&gt;"SUCCESS"),"",N379-SUM(I379:M379))</f>
        <v/>
      </c>
      <c r="V379" s="30">
        <f>IF(OR(N379="",N379=0,L379=""),"",L379/N379)</f>
        <v/>
      </c>
      <c r="W379" s="29">
        <f>IF(OR(N379="",G379="",G379=0),"",N379/(G379/60))</f>
        <v/>
      </c>
    </row>
    <row r="380">
      <c r="A380" s="22" t="n"/>
      <c r="B380" s="23" t="n"/>
      <c r="C380" s="24" t="n"/>
      <c r="D380" s="24" t="n"/>
      <c r="E380" s="24" t="n"/>
      <c r="F380" s="22" t="n"/>
      <c r="G380" s="25" t="n"/>
      <c r="H380" s="26" t="n"/>
      <c r="I380" s="26" t="n"/>
      <c r="J380" s="26" t="n"/>
      <c r="K380" s="26" t="n"/>
      <c r="L380" s="26" t="n"/>
      <c r="M380" s="26" t="n"/>
      <c r="N380" s="26" t="n"/>
      <c r="O380" s="26" t="n"/>
      <c r="P380" s="22" t="n"/>
      <c r="Q380" s="24" t="n"/>
      <c r="R380" s="24" t="n"/>
      <c r="S380" s="27" t="n"/>
      <c r="T380" s="28">
        <f>IF(Q380="","",IF(Q380="SUCCESS",1,0))</f>
        <v/>
      </c>
      <c r="U380" s="29">
        <f>IF(OR(N380="",Q380&lt;&gt;"SUCCESS"),"",N380-SUM(I380:M380))</f>
        <v/>
      </c>
      <c r="V380" s="30">
        <f>IF(OR(N380="",N380=0,L380=""),"",L380/N380)</f>
        <v/>
      </c>
      <c r="W380" s="29">
        <f>IF(OR(N380="",G380="",G380=0),"",N380/(G380/60))</f>
        <v/>
      </c>
    </row>
    <row r="381">
      <c r="A381" s="22" t="n"/>
      <c r="B381" s="23" t="n"/>
      <c r="C381" s="24" t="n"/>
      <c r="D381" s="24" t="n"/>
      <c r="E381" s="24" t="n"/>
      <c r="F381" s="22" t="n"/>
      <c r="G381" s="25" t="n"/>
      <c r="H381" s="26" t="n"/>
      <c r="I381" s="26" t="n"/>
      <c r="J381" s="26" t="n"/>
      <c r="K381" s="26" t="n"/>
      <c r="L381" s="26" t="n"/>
      <c r="M381" s="26" t="n"/>
      <c r="N381" s="26" t="n"/>
      <c r="O381" s="26" t="n"/>
      <c r="P381" s="22" t="n"/>
      <c r="Q381" s="24" t="n"/>
      <c r="R381" s="24" t="n"/>
      <c r="S381" s="27" t="n"/>
      <c r="T381" s="28">
        <f>IF(Q381="","",IF(Q381="SUCCESS",1,0))</f>
        <v/>
      </c>
      <c r="U381" s="29">
        <f>IF(OR(N381="",Q381&lt;&gt;"SUCCESS"),"",N381-SUM(I381:M381))</f>
        <v/>
      </c>
      <c r="V381" s="30">
        <f>IF(OR(N381="",N381=0,L381=""),"",L381/N381)</f>
        <v/>
      </c>
      <c r="W381" s="29">
        <f>IF(OR(N381="",G381="",G381=0),"",N381/(G381/60))</f>
        <v/>
      </c>
    </row>
    <row r="382">
      <c r="A382" s="22" t="n"/>
      <c r="B382" s="23" t="n"/>
      <c r="C382" s="24" t="n"/>
      <c r="D382" s="24" t="n"/>
      <c r="E382" s="24" t="n"/>
      <c r="F382" s="22" t="n"/>
      <c r="G382" s="25" t="n"/>
      <c r="H382" s="26" t="n"/>
      <c r="I382" s="26" t="n"/>
      <c r="J382" s="26" t="n"/>
      <c r="K382" s="26" t="n"/>
      <c r="L382" s="26" t="n"/>
      <c r="M382" s="26" t="n"/>
      <c r="N382" s="26" t="n"/>
      <c r="O382" s="26" t="n"/>
      <c r="P382" s="22" t="n"/>
      <c r="Q382" s="24" t="n"/>
      <c r="R382" s="24" t="n"/>
      <c r="S382" s="27" t="n"/>
      <c r="T382" s="28">
        <f>IF(Q382="","",IF(Q382="SUCCESS",1,0))</f>
        <v/>
      </c>
      <c r="U382" s="29">
        <f>IF(OR(N382="",Q382&lt;&gt;"SUCCESS"),"",N382-SUM(I382:M382))</f>
        <v/>
      </c>
      <c r="V382" s="30">
        <f>IF(OR(N382="",N382=0,L382=""),"",L382/N382)</f>
        <v/>
      </c>
      <c r="W382" s="29">
        <f>IF(OR(N382="",G382="",G382=0),"",N382/(G382/60))</f>
        <v/>
      </c>
    </row>
    <row r="383">
      <c r="A383" s="22" t="n"/>
      <c r="B383" s="23" t="n"/>
      <c r="C383" s="24" t="n"/>
      <c r="D383" s="24" t="n"/>
      <c r="E383" s="24" t="n"/>
      <c r="F383" s="22" t="n"/>
      <c r="G383" s="25" t="n"/>
      <c r="H383" s="26" t="n"/>
      <c r="I383" s="26" t="n"/>
      <c r="J383" s="26" t="n"/>
      <c r="K383" s="26" t="n"/>
      <c r="L383" s="26" t="n"/>
      <c r="M383" s="26" t="n"/>
      <c r="N383" s="26" t="n"/>
      <c r="O383" s="26" t="n"/>
      <c r="P383" s="22" t="n"/>
      <c r="Q383" s="24" t="n"/>
      <c r="R383" s="24" t="n"/>
      <c r="S383" s="27" t="n"/>
      <c r="T383" s="28">
        <f>IF(Q383="","",IF(Q383="SUCCESS",1,0))</f>
        <v/>
      </c>
      <c r="U383" s="29">
        <f>IF(OR(N383="",Q383&lt;&gt;"SUCCESS"),"",N383-SUM(I383:M383))</f>
        <v/>
      </c>
      <c r="V383" s="30">
        <f>IF(OR(N383="",N383=0,L383=""),"",L383/N383)</f>
        <v/>
      </c>
      <c r="W383" s="29">
        <f>IF(OR(N383="",G383="",G383=0),"",N383/(G383/60))</f>
        <v/>
      </c>
    </row>
    <row r="384">
      <c r="A384" s="22" t="n"/>
      <c r="B384" s="23" t="n"/>
      <c r="C384" s="24" t="n"/>
      <c r="D384" s="24" t="n"/>
      <c r="E384" s="24" t="n"/>
      <c r="F384" s="22" t="n"/>
      <c r="G384" s="25" t="n"/>
      <c r="H384" s="26" t="n"/>
      <c r="I384" s="26" t="n"/>
      <c r="J384" s="26" t="n"/>
      <c r="K384" s="26" t="n"/>
      <c r="L384" s="26" t="n"/>
      <c r="M384" s="26" t="n"/>
      <c r="N384" s="26" t="n"/>
      <c r="O384" s="26" t="n"/>
      <c r="P384" s="22" t="n"/>
      <c r="Q384" s="24" t="n"/>
      <c r="R384" s="24" t="n"/>
      <c r="S384" s="27" t="n"/>
      <c r="T384" s="28">
        <f>IF(Q384="","",IF(Q384="SUCCESS",1,0))</f>
        <v/>
      </c>
      <c r="U384" s="29">
        <f>IF(OR(N384="",Q384&lt;&gt;"SUCCESS"),"",N384-SUM(I384:M384))</f>
        <v/>
      </c>
      <c r="V384" s="30">
        <f>IF(OR(N384="",N384=0,L384=""),"",L384/N384)</f>
        <v/>
      </c>
      <c r="W384" s="29">
        <f>IF(OR(N384="",G384="",G384=0),"",N384/(G384/60))</f>
        <v/>
      </c>
    </row>
    <row r="385">
      <c r="A385" s="22" t="n"/>
      <c r="B385" s="23" t="n"/>
      <c r="C385" s="24" t="n"/>
      <c r="D385" s="24" t="n"/>
      <c r="E385" s="24" t="n"/>
      <c r="F385" s="22" t="n"/>
      <c r="G385" s="25" t="n"/>
      <c r="H385" s="26" t="n"/>
      <c r="I385" s="26" t="n"/>
      <c r="J385" s="26" t="n"/>
      <c r="K385" s="26" t="n"/>
      <c r="L385" s="26" t="n"/>
      <c r="M385" s="26" t="n"/>
      <c r="N385" s="26" t="n"/>
      <c r="O385" s="26" t="n"/>
      <c r="P385" s="22" t="n"/>
      <c r="Q385" s="24" t="n"/>
      <c r="R385" s="24" t="n"/>
      <c r="S385" s="27" t="n"/>
      <c r="T385" s="28">
        <f>IF(Q385="","",IF(Q385="SUCCESS",1,0))</f>
        <v/>
      </c>
      <c r="U385" s="29">
        <f>IF(OR(N385="",Q385&lt;&gt;"SUCCESS"),"",N385-SUM(I385:M385))</f>
        <v/>
      </c>
      <c r="V385" s="30">
        <f>IF(OR(N385="",N385=0,L385=""),"",L385/N385)</f>
        <v/>
      </c>
      <c r="W385" s="29">
        <f>IF(OR(N385="",G385="",G385=0),"",N385/(G385/60))</f>
        <v/>
      </c>
    </row>
    <row r="386">
      <c r="A386" s="22" t="n"/>
      <c r="B386" s="23" t="n"/>
      <c r="C386" s="24" t="n"/>
      <c r="D386" s="24" t="n"/>
      <c r="E386" s="24" t="n"/>
      <c r="F386" s="22" t="n"/>
      <c r="G386" s="25" t="n"/>
      <c r="H386" s="26" t="n"/>
      <c r="I386" s="26" t="n"/>
      <c r="J386" s="26" t="n"/>
      <c r="K386" s="26" t="n"/>
      <c r="L386" s="26" t="n"/>
      <c r="M386" s="26" t="n"/>
      <c r="N386" s="26" t="n"/>
      <c r="O386" s="26" t="n"/>
      <c r="P386" s="22" t="n"/>
      <c r="Q386" s="24" t="n"/>
      <c r="R386" s="24" t="n"/>
      <c r="S386" s="27" t="n"/>
      <c r="T386" s="28">
        <f>IF(Q386="","",IF(Q386="SUCCESS",1,0))</f>
        <v/>
      </c>
      <c r="U386" s="29">
        <f>IF(OR(N386="",Q386&lt;&gt;"SUCCESS"),"",N386-SUM(I386:M386))</f>
        <v/>
      </c>
      <c r="V386" s="30">
        <f>IF(OR(N386="",N386=0,L386=""),"",L386/N386)</f>
        <v/>
      </c>
      <c r="W386" s="29">
        <f>IF(OR(N386="",G386="",G386=0),"",N386/(G386/60))</f>
        <v/>
      </c>
    </row>
    <row r="387">
      <c r="A387" s="22" t="n"/>
      <c r="B387" s="23" t="n"/>
      <c r="C387" s="24" t="n"/>
      <c r="D387" s="24" t="n"/>
      <c r="E387" s="24" t="n"/>
      <c r="F387" s="22" t="n"/>
      <c r="G387" s="25" t="n"/>
      <c r="H387" s="26" t="n"/>
      <c r="I387" s="26" t="n"/>
      <c r="J387" s="26" t="n"/>
      <c r="K387" s="26" t="n"/>
      <c r="L387" s="26" t="n"/>
      <c r="M387" s="26" t="n"/>
      <c r="N387" s="26" t="n"/>
      <c r="O387" s="26" t="n"/>
      <c r="P387" s="22" t="n"/>
      <c r="Q387" s="24" t="n"/>
      <c r="R387" s="24" t="n"/>
      <c r="S387" s="27" t="n"/>
      <c r="T387" s="28">
        <f>IF(Q387="","",IF(Q387="SUCCESS",1,0))</f>
        <v/>
      </c>
      <c r="U387" s="29">
        <f>IF(OR(N387="",Q387&lt;&gt;"SUCCESS"),"",N387-SUM(I387:M387))</f>
        <v/>
      </c>
      <c r="V387" s="30">
        <f>IF(OR(N387="",N387=0,L387=""),"",L387/N387)</f>
        <v/>
      </c>
      <c r="W387" s="29">
        <f>IF(OR(N387="",G387="",G387=0),"",N387/(G387/60))</f>
        <v/>
      </c>
    </row>
    <row r="388">
      <c r="A388" s="22" t="n"/>
      <c r="B388" s="23" t="n"/>
      <c r="C388" s="24" t="n"/>
      <c r="D388" s="24" t="n"/>
      <c r="E388" s="24" t="n"/>
      <c r="F388" s="22" t="n"/>
      <c r="G388" s="25" t="n"/>
      <c r="H388" s="26" t="n"/>
      <c r="I388" s="26" t="n"/>
      <c r="J388" s="26" t="n"/>
      <c r="K388" s="26" t="n"/>
      <c r="L388" s="26" t="n"/>
      <c r="M388" s="26" t="n"/>
      <c r="N388" s="26" t="n"/>
      <c r="O388" s="26" t="n"/>
      <c r="P388" s="22" t="n"/>
      <c r="Q388" s="24" t="n"/>
      <c r="R388" s="24" t="n"/>
      <c r="S388" s="27" t="n"/>
      <c r="T388" s="28">
        <f>IF(Q388="","",IF(Q388="SUCCESS",1,0))</f>
        <v/>
      </c>
      <c r="U388" s="29">
        <f>IF(OR(N388="",Q388&lt;&gt;"SUCCESS"),"",N388-SUM(I388:M388))</f>
        <v/>
      </c>
      <c r="V388" s="30">
        <f>IF(OR(N388="",N388=0,L388=""),"",L388/N388)</f>
        <v/>
      </c>
      <c r="W388" s="29">
        <f>IF(OR(N388="",G388="",G388=0),"",N388/(G388/60))</f>
        <v/>
      </c>
    </row>
    <row r="389">
      <c r="A389" s="22" t="n"/>
      <c r="B389" s="23" t="n"/>
      <c r="C389" s="24" t="n"/>
      <c r="D389" s="24" t="n"/>
      <c r="E389" s="24" t="n"/>
      <c r="F389" s="22" t="n"/>
      <c r="G389" s="25" t="n"/>
      <c r="H389" s="26" t="n"/>
      <c r="I389" s="26" t="n"/>
      <c r="J389" s="26" t="n"/>
      <c r="K389" s="26" t="n"/>
      <c r="L389" s="26" t="n"/>
      <c r="M389" s="26" t="n"/>
      <c r="N389" s="26" t="n"/>
      <c r="O389" s="26" t="n"/>
      <c r="P389" s="22" t="n"/>
      <c r="Q389" s="24" t="n"/>
      <c r="R389" s="24" t="n"/>
      <c r="S389" s="27" t="n"/>
      <c r="T389" s="28">
        <f>IF(Q389="","",IF(Q389="SUCCESS",1,0))</f>
        <v/>
      </c>
      <c r="U389" s="29">
        <f>IF(OR(N389="",Q389&lt;&gt;"SUCCESS"),"",N389-SUM(I389:M389))</f>
        <v/>
      </c>
      <c r="V389" s="30">
        <f>IF(OR(N389="",N389=0,L389=""),"",L389/N389)</f>
        <v/>
      </c>
      <c r="W389" s="29">
        <f>IF(OR(N389="",G389="",G389=0),"",N389/(G389/60))</f>
        <v/>
      </c>
    </row>
    <row r="390">
      <c r="A390" s="22" t="n"/>
      <c r="B390" s="23" t="n"/>
      <c r="C390" s="24" t="n"/>
      <c r="D390" s="24" t="n"/>
      <c r="E390" s="24" t="n"/>
      <c r="F390" s="22" t="n"/>
      <c r="G390" s="25" t="n"/>
      <c r="H390" s="26" t="n"/>
      <c r="I390" s="26" t="n"/>
      <c r="J390" s="26" t="n"/>
      <c r="K390" s="26" t="n"/>
      <c r="L390" s="26" t="n"/>
      <c r="M390" s="26" t="n"/>
      <c r="N390" s="26" t="n"/>
      <c r="O390" s="26" t="n"/>
      <c r="P390" s="22" t="n"/>
      <c r="Q390" s="24" t="n"/>
      <c r="R390" s="24" t="n"/>
      <c r="S390" s="27" t="n"/>
      <c r="T390" s="28">
        <f>IF(Q390="","",IF(Q390="SUCCESS",1,0))</f>
        <v/>
      </c>
      <c r="U390" s="29">
        <f>IF(OR(N390="",Q390&lt;&gt;"SUCCESS"),"",N390-SUM(I390:M390))</f>
        <v/>
      </c>
      <c r="V390" s="30">
        <f>IF(OR(N390="",N390=0,L390=""),"",L390/N390)</f>
        <v/>
      </c>
      <c r="W390" s="29">
        <f>IF(OR(N390="",G390="",G390=0),"",N390/(G390/60))</f>
        <v/>
      </c>
    </row>
    <row r="391">
      <c r="A391" s="22" t="n"/>
      <c r="B391" s="23" t="n"/>
      <c r="C391" s="24" t="n"/>
      <c r="D391" s="24" t="n"/>
      <c r="E391" s="24" t="n"/>
      <c r="F391" s="22" t="n"/>
      <c r="G391" s="25" t="n"/>
      <c r="H391" s="26" t="n"/>
      <c r="I391" s="26" t="n"/>
      <c r="J391" s="26" t="n"/>
      <c r="K391" s="26" t="n"/>
      <c r="L391" s="26" t="n"/>
      <c r="M391" s="26" t="n"/>
      <c r="N391" s="26" t="n"/>
      <c r="O391" s="26" t="n"/>
      <c r="P391" s="22" t="n"/>
      <c r="Q391" s="24" t="n"/>
      <c r="R391" s="24" t="n"/>
      <c r="S391" s="27" t="n"/>
      <c r="T391" s="28">
        <f>IF(Q391="","",IF(Q391="SUCCESS",1,0))</f>
        <v/>
      </c>
      <c r="U391" s="29">
        <f>IF(OR(N391="",Q391&lt;&gt;"SUCCESS"),"",N391-SUM(I391:M391))</f>
        <v/>
      </c>
      <c r="V391" s="30">
        <f>IF(OR(N391="",N391=0,L391=""),"",L391/N391)</f>
        <v/>
      </c>
      <c r="W391" s="29">
        <f>IF(OR(N391="",G391="",G391=0),"",N391/(G391/60))</f>
        <v/>
      </c>
    </row>
    <row r="392">
      <c r="A392" s="22" t="n"/>
      <c r="B392" s="23" t="n"/>
      <c r="C392" s="24" t="n"/>
      <c r="D392" s="24" t="n"/>
      <c r="E392" s="24" t="n"/>
      <c r="F392" s="22" t="n"/>
      <c r="G392" s="25" t="n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2" t="n"/>
      <c r="Q392" s="24" t="n"/>
      <c r="R392" s="24" t="n"/>
      <c r="S392" s="27" t="n"/>
      <c r="T392" s="28">
        <f>IF(Q392="","",IF(Q392="SUCCESS",1,0))</f>
        <v/>
      </c>
      <c r="U392" s="29">
        <f>IF(OR(N392="",Q392&lt;&gt;"SUCCESS"),"",N392-SUM(I392:M392))</f>
        <v/>
      </c>
      <c r="V392" s="30">
        <f>IF(OR(N392="",N392=0,L392=""),"",L392/N392)</f>
        <v/>
      </c>
      <c r="W392" s="29">
        <f>IF(OR(N392="",G392="",G392=0),"",N392/(G392/60))</f>
        <v/>
      </c>
    </row>
    <row r="393">
      <c r="A393" s="22" t="n"/>
      <c r="B393" s="23" t="n"/>
      <c r="C393" s="24" t="n"/>
      <c r="D393" s="24" t="n"/>
      <c r="E393" s="24" t="n"/>
      <c r="F393" s="22" t="n"/>
      <c r="G393" s="25" t="n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2" t="n"/>
      <c r="Q393" s="24" t="n"/>
      <c r="R393" s="24" t="n"/>
      <c r="S393" s="27" t="n"/>
      <c r="T393" s="28">
        <f>IF(Q393="","",IF(Q393="SUCCESS",1,0))</f>
        <v/>
      </c>
      <c r="U393" s="29">
        <f>IF(OR(N393="",Q393&lt;&gt;"SUCCESS"),"",N393-SUM(I393:M393))</f>
        <v/>
      </c>
      <c r="V393" s="30">
        <f>IF(OR(N393="",N393=0,L393=""),"",L393/N393)</f>
        <v/>
      </c>
      <c r="W393" s="29">
        <f>IF(OR(N393="",G393="",G393=0),"",N393/(G393/60))</f>
        <v/>
      </c>
    </row>
    <row r="394">
      <c r="A394" s="22" t="n"/>
      <c r="B394" s="23" t="n"/>
      <c r="C394" s="24" t="n"/>
      <c r="D394" s="24" t="n"/>
      <c r="E394" s="24" t="n"/>
      <c r="F394" s="22" t="n"/>
      <c r="G394" s="25" t="n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2" t="n"/>
      <c r="Q394" s="24" t="n"/>
      <c r="R394" s="24" t="n"/>
      <c r="S394" s="27" t="n"/>
      <c r="T394" s="28">
        <f>IF(Q394="","",IF(Q394="SUCCESS",1,0))</f>
        <v/>
      </c>
      <c r="U394" s="29">
        <f>IF(OR(N394="",Q394&lt;&gt;"SUCCESS"),"",N394-SUM(I394:M394))</f>
        <v/>
      </c>
      <c r="V394" s="30">
        <f>IF(OR(N394="",N394=0,L394=""),"",L394/N394)</f>
        <v/>
      </c>
      <c r="W394" s="29">
        <f>IF(OR(N394="",G394="",G394=0),"",N394/(G394/60))</f>
        <v/>
      </c>
    </row>
    <row r="395">
      <c r="A395" s="22" t="n"/>
      <c r="B395" s="23" t="n"/>
      <c r="C395" s="24" t="n"/>
      <c r="D395" s="24" t="n"/>
      <c r="E395" s="24" t="n"/>
      <c r="F395" s="22" t="n"/>
      <c r="G395" s="25" t="n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2" t="n"/>
      <c r="Q395" s="24" t="n"/>
      <c r="R395" s="24" t="n"/>
      <c r="S395" s="27" t="n"/>
      <c r="T395" s="28">
        <f>IF(Q395="","",IF(Q395="SUCCESS",1,0))</f>
        <v/>
      </c>
      <c r="U395" s="29">
        <f>IF(OR(N395="",Q395&lt;&gt;"SUCCESS"),"",N395-SUM(I395:M395))</f>
        <v/>
      </c>
      <c r="V395" s="30">
        <f>IF(OR(N395="",N395=0,L395=""),"",L395/N395)</f>
        <v/>
      </c>
      <c r="W395" s="29">
        <f>IF(OR(N395="",G395="",G395=0),"",N395/(G395/60))</f>
        <v/>
      </c>
    </row>
    <row r="396">
      <c r="A396" s="22" t="n"/>
      <c r="B396" s="23" t="n"/>
      <c r="C396" s="24" t="n"/>
      <c r="D396" s="24" t="n"/>
      <c r="E396" s="24" t="n"/>
      <c r="F396" s="22" t="n"/>
      <c r="G396" s="25" t="n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2" t="n"/>
      <c r="Q396" s="24" t="n"/>
      <c r="R396" s="24" t="n"/>
      <c r="S396" s="27" t="n"/>
      <c r="T396" s="28">
        <f>IF(Q396="","",IF(Q396="SUCCESS",1,0))</f>
        <v/>
      </c>
      <c r="U396" s="29">
        <f>IF(OR(N396="",Q396&lt;&gt;"SUCCESS"),"",N396-SUM(I396:M396))</f>
        <v/>
      </c>
      <c r="V396" s="30">
        <f>IF(OR(N396="",N396=0,L396=""),"",L396/N396)</f>
        <v/>
      </c>
      <c r="W396" s="29">
        <f>IF(OR(N396="",G396="",G396=0),"",N396/(G396/60))</f>
        <v/>
      </c>
    </row>
    <row r="397">
      <c r="A397" s="22" t="n"/>
      <c r="B397" s="23" t="n"/>
      <c r="C397" s="24" t="n"/>
      <c r="D397" s="24" t="n"/>
      <c r="E397" s="24" t="n"/>
      <c r="F397" s="22" t="n"/>
      <c r="G397" s="25" t="n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2" t="n"/>
      <c r="Q397" s="24" t="n"/>
      <c r="R397" s="24" t="n"/>
      <c r="S397" s="27" t="n"/>
      <c r="T397" s="28">
        <f>IF(Q397="","",IF(Q397="SUCCESS",1,0))</f>
        <v/>
      </c>
      <c r="U397" s="29">
        <f>IF(OR(N397="",Q397&lt;&gt;"SUCCESS"),"",N397-SUM(I397:M397))</f>
        <v/>
      </c>
      <c r="V397" s="30">
        <f>IF(OR(N397="",N397=0,L397=""),"",L397/N397)</f>
        <v/>
      </c>
      <c r="W397" s="29">
        <f>IF(OR(N397="",G397="",G397=0),"",N397/(G397/60))</f>
        <v/>
      </c>
    </row>
    <row r="398">
      <c r="A398" s="22" t="n"/>
      <c r="B398" s="23" t="n"/>
      <c r="C398" s="24" t="n"/>
      <c r="D398" s="24" t="n"/>
      <c r="E398" s="24" t="n"/>
      <c r="F398" s="22" t="n"/>
      <c r="G398" s="25" t="n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2" t="n"/>
      <c r="Q398" s="24" t="n"/>
      <c r="R398" s="24" t="n"/>
      <c r="S398" s="27" t="n"/>
      <c r="T398" s="28">
        <f>IF(Q398="","",IF(Q398="SUCCESS",1,0))</f>
        <v/>
      </c>
      <c r="U398" s="29">
        <f>IF(OR(N398="",Q398&lt;&gt;"SUCCESS"),"",N398-SUM(I398:M398))</f>
        <v/>
      </c>
      <c r="V398" s="30">
        <f>IF(OR(N398="",N398=0,L398=""),"",L398/N398)</f>
        <v/>
      </c>
      <c r="W398" s="29">
        <f>IF(OR(N398="",G398="",G398=0),"",N398/(G398/60))</f>
        <v/>
      </c>
    </row>
    <row r="399">
      <c r="A399" s="22" t="n"/>
      <c r="B399" s="23" t="n"/>
      <c r="C399" s="24" t="n"/>
      <c r="D399" s="24" t="n"/>
      <c r="E399" s="24" t="n"/>
      <c r="F399" s="22" t="n"/>
      <c r="G399" s="25" t="n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2" t="n"/>
      <c r="Q399" s="24" t="n"/>
      <c r="R399" s="24" t="n"/>
      <c r="S399" s="27" t="n"/>
      <c r="T399" s="28">
        <f>IF(Q399="","",IF(Q399="SUCCESS",1,0))</f>
        <v/>
      </c>
      <c r="U399" s="29">
        <f>IF(OR(N399="",Q399&lt;&gt;"SUCCESS"),"",N399-SUM(I399:M399))</f>
        <v/>
      </c>
      <c r="V399" s="30">
        <f>IF(OR(N399="",N399=0,L399=""),"",L399/N399)</f>
        <v/>
      </c>
      <c r="W399" s="29">
        <f>IF(OR(N399="",G399="",G399=0),"",N399/(G399/60))</f>
        <v/>
      </c>
    </row>
    <row r="400">
      <c r="A400" s="22" t="n"/>
      <c r="B400" s="23" t="n"/>
      <c r="C400" s="24" t="n"/>
      <c r="D400" s="24" t="n"/>
      <c r="E400" s="24" t="n"/>
      <c r="F400" s="22" t="n"/>
      <c r="G400" s="25" t="n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2" t="n"/>
      <c r="Q400" s="24" t="n"/>
      <c r="R400" s="24" t="n"/>
      <c r="S400" s="27" t="n"/>
      <c r="T400" s="28">
        <f>IF(Q400="","",IF(Q400="SUCCESS",1,0))</f>
        <v/>
      </c>
      <c r="U400" s="29">
        <f>IF(OR(N400="",Q400&lt;&gt;"SUCCESS"),"",N400-SUM(I400:M400))</f>
        <v/>
      </c>
      <c r="V400" s="30">
        <f>IF(OR(N400="",N400=0,L400=""),"",L400/N400)</f>
        <v/>
      </c>
      <c r="W400" s="29">
        <f>IF(OR(N400="",G400="",G400=0),"",N400/(G400/60))</f>
        <v/>
      </c>
    </row>
    <row r="401">
      <c r="A401" s="22" t="n"/>
      <c r="B401" s="23" t="n"/>
      <c r="C401" s="24" t="n"/>
      <c r="D401" s="24" t="n"/>
      <c r="E401" s="24" t="n"/>
      <c r="F401" s="22" t="n"/>
      <c r="G401" s="25" t="n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2" t="n"/>
      <c r="Q401" s="24" t="n"/>
      <c r="R401" s="24" t="n"/>
      <c r="S401" s="27" t="n"/>
      <c r="T401" s="28">
        <f>IF(Q401="","",IF(Q401="SUCCESS",1,0))</f>
        <v/>
      </c>
      <c r="U401" s="29">
        <f>IF(OR(N401="",Q401&lt;&gt;"SUCCESS"),"",N401-SUM(I401:M401))</f>
        <v/>
      </c>
      <c r="V401" s="30">
        <f>IF(OR(N401="",N401=0,L401=""),"",L401/N401)</f>
        <v/>
      </c>
      <c r="W401" s="29">
        <f>IF(OR(N401="",G401="",G401=0),"",N401/(G401/60))</f>
        <v/>
      </c>
    </row>
    <row r="402">
      <c r="A402" s="22" t="n"/>
      <c r="B402" s="23" t="n"/>
      <c r="C402" s="24" t="n"/>
      <c r="D402" s="24" t="n"/>
      <c r="E402" s="24" t="n"/>
      <c r="F402" s="22" t="n"/>
      <c r="G402" s="25" t="n"/>
      <c r="H402" s="26" t="n"/>
      <c r="I402" s="26" t="n"/>
      <c r="J402" s="26" t="n"/>
      <c r="K402" s="26" t="n"/>
      <c r="L402" s="26" t="n"/>
      <c r="M402" s="26" t="n"/>
      <c r="N402" s="26" t="n"/>
      <c r="O402" s="26" t="n"/>
      <c r="P402" s="22" t="n"/>
      <c r="Q402" s="24" t="n"/>
      <c r="R402" s="24" t="n"/>
      <c r="S402" s="27" t="n"/>
      <c r="T402" s="28">
        <f>IF(Q402="","",IF(Q402="SUCCESS",1,0))</f>
        <v/>
      </c>
      <c r="U402" s="29">
        <f>IF(OR(N402="",Q402&lt;&gt;"SUCCESS"),"",N402-SUM(I402:M402))</f>
        <v/>
      </c>
      <c r="V402" s="30">
        <f>IF(OR(N402="",N402=0,L402=""),"",L402/N402)</f>
        <v/>
      </c>
      <c r="W402" s="29">
        <f>IF(OR(N402="",G402="",G402=0),"",N402/(G402/60))</f>
        <v/>
      </c>
    </row>
    <row r="403">
      <c r="A403" s="22" t="n"/>
      <c r="B403" s="23" t="n"/>
      <c r="C403" s="24" t="n"/>
      <c r="D403" s="24" t="n"/>
      <c r="E403" s="24" t="n"/>
      <c r="F403" s="22" t="n"/>
      <c r="G403" s="25" t="n"/>
      <c r="H403" s="26" t="n"/>
      <c r="I403" s="26" t="n"/>
      <c r="J403" s="26" t="n"/>
      <c r="K403" s="26" t="n"/>
      <c r="L403" s="26" t="n"/>
      <c r="M403" s="26" t="n"/>
      <c r="N403" s="26" t="n"/>
      <c r="O403" s="26" t="n"/>
      <c r="P403" s="22" t="n"/>
      <c r="Q403" s="24" t="n"/>
      <c r="R403" s="24" t="n"/>
      <c r="S403" s="27" t="n"/>
      <c r="T403" s="28">
        <f>IF(Q403="","",IF(Q403="SUCCESS",1,0))</f>
        <v/>
      </c>
      <c r="U403" s="29">
        <f>IF(OR(N403="",Q403&lt;&gt;"SUCCESS"),"",N403-SUM(I403:M403))</f>
        <v/>
      </c>
      <c r="V403" s="30">
        <f>IF(OR(N403="",N403=0,L403=""),"",L403/N403)</f>
        <v/>
      </c>
      <c r="W403" s="29">
        <f>IF(OR(N403="",G403="",G403=0),"",N403/(G403/60))</f>
        <v/>
      </c>
    </row>
    <row r="404">
      <c r="A404" s="22" t="n"/>
      <c r="B404" s="23" t="n"/>
      <c r="C404" s="24" t="n"/>
      <c r="D404" s="24" t="n"/>
      <c r="E404" s="24" t="n"/>
      <c r="F404" s="22" t="n"/>
      <c r="G404" s="25" t="n"/>
      <c r="H404" s="26" t="n"/>
      <c r="I404" s="26" t="n"/>
      <c r="J404" s="26" t="n"/>
      <c r="K404" s="26" t="n"/>
      <c r="L404" s="26" t="n"/>
      <c r="M404" s="26" t="n"/>
      <c r="N404" s="26" t="n"/>
      <c r="O404" s="26" t="n"/>
      <c r="P404" s="22" t="n"/>
      <c r="Q404" s="24" t="n"/>
      <c r="R404" s="24" t="n"/>
      <c r="S404" s="27" t="n"/>
      <c r="T404" s="28">
        <f>IF(Q404="","",IF(Q404="SUCCESS",1,0))</f>
        <v/>
      </c>
      <c r="U404" s="29">
        <f>IF(OR(N404="",Q404&lt;&gt;"SUCCESS"),"",N404-SUM(I404:M404))</f>
        <v/>
      </c>
      <c r="V404" s="30">
        <f>IF(OR(N404="",N404=0,L404=""),"",L404/N404)</f>
        <v/>
      </c>
      <c r="W404" s="29">
        <f>IF(OR(N404="",G404="",G404=0),"",N404/(G404/60))</f>
        <v/>
      </c>
    </row>
    <row r="405">
      <c r="A405" s="22" t="n"/>
      <c r="B405" s="23" t="n"/>
      <c r="C405" s="24" t="n"/>
      <c r="D405" s="24" t="n"/>
      <c r="E405" s="24" t="n"/>
      <c r="F405" s="22" t="n"/>
      <c r="G405" s="25" t="n"/>
      <c r="H405" s="26" t="n"/>
      <c r="I405" s="26" t="n"/>
      <c r="J405" s="26" t="n"/>
      <c r="K405" s="26" t="n"/>
      <c r="L405" s="26" t="n"/>
      <c r="M405" s="26" t="n"/>
      <c r="N405" s="26" t="n"/>
      <c r="O405" s="26" t="n"/>
      <c r="P405" s="22" t="n"/>
      <c r="Q405" s="24" t="n"/>
      <c r="R405" s="24" t="n"/>
      <c r="S405" s="27" t="n"/>
      <c r="T405" s="28">
        <f>IF(Q405="","",IF(Q405="SUCCESS",1,0))</f>
        <v/>
      </c>
      <c r="U405" s="29">
        <f>IF(OR(N405="",Q405&lt;&gt;"SUCCESS"),"",N405-SUM(I405:M405))</f>
        <v/>
      </c>
      <c r="V405" s="30">
        <f>IF(OR(N405="",N405=0,L405=""),"",L405/N405)</f>
        <v/>
      </c>
      <c r="W405" s="29">
        <f>IF(OR(N405="",G405="",G405=0),"",N405/(G405/60))</f>
        <v/>
      </c>
    </row>
    <row r="406">
      <c r="A406" s="22" t="n"/>
      <c r="B406" s="23" t="n"/>
      <c r="C406" s="24" t="n"/>
      <c r="D406" s="24" t="n"/>
      <c r="E406" s="24" t="n"/>
      <c r="F406" s="22" t="n"/>
      <c r="G406" s="25" t="n"/>
      <c r="H406" s="26" t="n"/>
      <c r="I406" s="26" t="n"/>
      <c r="J406" s="26" t="n"/>
      <c r="K406" s="26" t="n"/>
      <c r="L406" s="26" t="n"/>
      <c r="M406" s="26" t="n"/>
      <c r="N406" s="26" t="n"/>
      <c r="O406" s="26" t="n"/>
      <c r="P406" s="22" t="n"/>
      <c r="Q406" s="24" t="n"/>
      <c r="R406" s="24" t="n"/>
      <c r="S406" s="27" t="n"/>
      <c r="T406" s="28">
        <f>IF(Q406="","",IF(Q406="SUCCESS",1,0))</f>
        <v/>
      </c>
      <c r="U406" s="29">
        <f>IF(OR(N406="",Q406&lt;&gt;"SUCCESS"),"",N406-SUM(I406:M406))</f>
        <v/>
      </c>
      <c r="V406" s="30">
        <f>IF(OR(N406="",N406=0,L406=""),"",L406/N406)</f>
        <v/>
      </c>
      <c r="W406" s="29">
        <f>IF(OR(N406="",G406="",G406=0),"",N406/(G406/60))</f>
        <v/>
      </c>
    </row>
    <row r="407">
      <c r="A407" s="22" t="n"/>
      <c r="B407" s="23" t="n"/>
      <c r="C407" s="24" t="n"/>
      <c r="D407" s="24" t="n"/>
      <c r="E407" s="24" t="n"/>
      <c r="F407" s="22" t="n"/>
      <c r="G407" s="25" t="n"/>
      <c r="H407" s="26" t="n"/>
      <c r="I407" s="26" t="n"/>
      <c r="J407" s="26" t="n"/>
      <c r="K407" s="26" t="n"/>
      <c r="L407" s="26" t="n"/>
      <c r="M407" s="26" t="n"/>
      <c r="N407" s="26" t="n"/>
      <c r="O407" s="26" t="n"/>
      <c r="P407" s="22" t="n"/>
      <c r="Q407" s="24" t="n"/>
      <c r="R407" s="24" t="n"/>
      <c r="S407" s="27" t="n"/>
      <c r="T407" s="28">
        <f>IF(Q407="","",IF(Q407="SUCCESS",1,0))</f>
        <v/>
      </c>
      <c r="U407" s="29">
        <f>IF(OR(N407="",Q407&lt;&gt;"SUCCESS"),"",N407-SUM(I407:M407))</f>
        <v/>
      </c>
      <c r="V407" s="30">
        <f>IF(OR(N407="",N407=0,L407=""),"",L407/N407)</f>
        <v/>
      </c>
      <c r="W407" s="29">
        <f>IF(OR(N407="",G407="",G407=0),"",N407/(G407/60))</f>
        <v/>
      </c>
    </row>
    <row r="408">
      <c r="A408" s="22" t="n"/>
      <c r="B408" s="23" t="n"/>
      <c r="C408" s="24" t="n"/>
      <c r="D408" s="24" t="n"/>
      <c r="E408" s="24" t="n"/>
      <c r="F408" s="22" t="n"/>
      <c r="G408" s="25" t="n"/>
      <c r="H408" s="26" t="n"/>
      <c r="I408" s="26" t="n"/>
      <c r="J408" s="26" t="n"/>
      <c r="K408" s="26" t="n"/>
      <c r="L408" s="26" t="n"/>
      <c r="M408" s="26" t="n"/>
      <c r="N408" s="26" t="n"/>
      <c r="O408" s="26" t="n"/>
      <c r="P408" s="22" t="n"/>
      <c r="Q408" s="24" t="n"/>
      <c r="R408" s="24" t="n"/>
      <c r="S408" s="27" t="n"/>
      <c r="T408" s="28">
        <f>IF(Q408="","",IF(Q408="SUCCESS",1,0))</f>
        <v/>
      </c>
      <c r="U408" s="29">
        <f>IF(OR(N408="",Q408&lt;&gt;"SUCCESS"),"",N408-SUM(I408:M408))</f>
        <v/>
      </c>
      <c r="V408" s="30">
        <f>IF(OR(N408="",N408=0,L408=""),"",L408/N408)</f>
        <v/>
      </c>
      <c r="W408" s="29">
        <f>IF(OR(N408="",G408="",G408=0),"",N408/(G408/60))</f>
        <v/>
      </c>
    </row>
    <row r="409">
      <c r="A409" s="22" t="n"/>
      <c r="B409" s="23" t="n"/>
      <c r="C409" s="24" t="n"/>
      <c r="D409" s="24" t="n"/>
      <c r="E409" s="24" t="n"/>
      <c r="F409" s="22" t="n"/>
      <c r="G409" s="25" t="n"/>
      <c r="H409" s="26" t="n"/>
      <c r="I409" s="26" t="n"/>
      <c r="J409" s="26" t="n"/>
      <c r="K409" s="26" t="n"/>
      <c r="L409" s="26" t="n"/>
      <c r="M409" s="26" t="n"/>
      <c r="N409" s="26" t="n"/>
      <c r="O409" s="26" t="n"/>
      <c r="P409" s="22" t="n"/>
      <c r="Q409" s="24" t="n"/>
      <c r="R409" s="24" t="n"/>
      <c r="S409" s="27" t="n"/>
      <c r="T409" s="28">
        <f>IF(Q409="","",IF(Q409="SUCCESS",1,0))</f>
        <v/>
      </c>
      <c r="U409" s="29">
        <f>IF(OR(N409="",Q409&lt;&gt;"SUCCESS"),"",N409-SUM(I409:M409))</f>
        <v/>
      </c>
      <c r="V409" s="30">
        <f>IF(OR(N409="",N409=0,L409=""),"",L409/N409)</f>
        <v/>
      </c>
      <c r="W409" s="29">
        <f>IF(OR(N409="",G409="",G409=0),"",N409/(G409/60))</f>
        <v/>
      </c>
    </row>
    <row r="410">
      <c r="A410" s="22" t="n"/>
      <c r="B410" s="23" t="n"/>
      <c r="C410" s="24" t="n"/>
      <c r="D410" s="24" t="n"/>
      <c r="E410" s="24" t="n"/>
      <c r="F410" s="22" t="n"/>
      <c r="G410" s="25" t="n"/>
      <c r="H410" s="26" t="n"/>
      <c r="I410" s="26" t="n"/>
      <c r="J410" s="26" t="n"/>
      <c r="K410" s="26" t="n"/>
      <c r="L410" s="26" t="n"/>
      <c r="M410" s="26" t="n"/>
      <c r="N410" s="26" t="n"/>
      <c r="O410" s="26" t="n"/>
      <c r="P410" s="22" t="n"/>
      <c r="Q410" s="24" t="n"/>
      <c r="R410" s="24" t="n"/>
      <c r="S410" s="27" t="n"/>
      <c r="T410" s="28">
        <f>IF(Q410="","",IF(Q410="SUCCESS",1,0))</f>
        <v/>
      </c>
      <c r="U410" s="29">
        <f>IF(OR(N410="",Q410&lt;&gt;"SUCCESS"),"",N410-SUM(I410:M410))</f>
        <v/>
      </c>
      <c r="V410" s="30">
        <f>IF(OR(N410="",N410=0,L410=""),"",L410/N410)</f>
        <v/>
      </c>
      <c r="W410" s="29">
        <f>IF(OR(N410="",G410="",G410=0),"",N410/(G410/60))</f>
        <v/>
      </c>
    </row>
    <row r="411">
      <c r="A411" s="22" t="n"/>
      <c r="B411" s="23" t="n"/>
      <c r="C411" s="24" t="n"/>
      <c r="D411" s="24" t="n"/>
      <c r="E411" s="24" t="n"/>
      <c r="F411" s="22" t="n"/>
      <c r="G411" s="25" t="n"/>
      <c r="H411" s="26" t="n"/>
      <c r="I411" s="26" t="n"/>
      <c r="J411" s="26" t="n"/>
      <c r="K411" s="26" t="n"/>
      <c r="L411" s="26" t="n"/>
      <c r="M411" s="26" t="n"/>
      <c r="N411" s="26" t="n"/>
      <c r="O411" s="26" t="n"/>
      <c r="P411" s="22" t="n"/>
      <c r="Q411" s="24" t="n"/>
      <c r="R411" s="24" t="n"/>
      <c r="S411" s="27" t="n"/>
      <c r="T411" s="28">
        <f>IF(Q411="","",IF(Q411="SUCCESS",1,0))</f>
        <v/>
      </c>
      <c r="U411" s="29">
        <f>IF(OR(N411="",Q411&lt;&gt;"SUCCESS"),"",N411-SUM(I411:M411))</f>
        <v/>
      </c>
      <c r="V411" s="30">
        <f>IF(OR(N411="",N411=0,L411=""),"",L411/N411)</f>
        <v/>
      </c>
      <c r="W411" s="29">
        <f>IF(OR(N411="",G411="",G411=0),"",N411/(G411/60))</f>
        <v/>
      </c>
    </row>
    <row r="412">
      <c r="A412" s="22" t="n"/>
      <c r="B412" s="23" t="n"/>
      <c r="C412" s="24" t="n"/>
      <c r="D412" s="24" t="n"/>
      <c r="E412" s="24" t="n"/>
      <c r="F412" s="22" t="n"/>
      <c r="G412" s="25" t="n"/>
      <c r="H412" s="26" t="n"/>
      <c r="I412" s="26" t="n"/>
      <c r="J412" s="26" t="n"/>
      <c r="K412" s="26" t="n"/>
      <c r="L412" s="26" t="n"/>
      <c r="M412" s="26" t="n"/>
      <c r="N412" s="26" t="n"/>
      <c r="O412" s="26" t="n"/>
      <c r="P412" s="22" t="n"/>
      <c r="Q412" s="24" t="n"/>
      <c r="R412" s="24" t="n"/>
      <c r="S412" s="27" t="n"/>
      <c r="T412" s="28">
        <f>IF(Q412="","",IF(Q412="SUCCESS",1,0))</f>
        <v/>
      </c>
      <c r="U412" s="29">
        <f>IF(OR(N412="",Q412&lt;&gt;"SUCCESS"),"",N412-SUM(I412:M412))</f>
        <v/>
      </c>
      <c r="V412" s="30">
        <f>IF(OR(N412="",N412=0,L412=""),"",L412/N412)</f>
        <v/>
      </c>
      <c r="W412" s="29">
        <f>IF(OR(N412="",G412="",G412=0),"",N412/(G412/60))</f>
        <v/>
      </c>
    </row>
    <row r="413">
      <c r="A413" s="22" t="n"/>
      <c r="B413" s="23" t="n"/>
      <c r="C413" s="24" t="n"/>
      <c r="D413" s="24" t="n"/>
      <c r="E413" s="24" t="n"/>
      <c r="F413" s="22" t="n"/>
      <c r="G413" s="25" t="n"/>
      <c r="H413" s="26" t="n"/>
      <c r="I413" s="26" t="n"/>
      <c r="J413" s="26" t="n"/>
      <c r="K413" s="26" t="n"/>
      <c r="L413" s="26" t="n"/>
      <c r="M413" s="26" t="n"/>
      <c r="N413" s="26" t="n"/>
      <c r="O413" s="26" t="n"/>
      <c r="P413" s="22" t="n"/>
      <c r="Q413" s="24" t="n"/>
      <c r="R413" s="24" t="n"/>
      <c r="S413" s="27" t="n"/>
      <c r="T413" s="28">
        <f>IF(Q413="","",IF(Q413="SUCCESS",1,0))</f>
        <v/>
      </c>
      <c r="U413" s="29">
        <f>IF(OR(N413="",Q413&lt;&gt;"SUCCESS"),"",N413-SUM(I413:M413))</f>
        <v/>
      </c>
      <c r="V413" s="30">
        <f>IF(OR(N413="",N413=0,L413=""),"",L413/N413)</f>
        <v/>
      </c>
      <c r="W413" s="29">
        <f>IF(OR(N413="",G413="",G413=0),"",N413/(G413/60))</f>
        <v/>
      </c>
    </row>
    <row r="414">
      <c r="A414" s="22" t="n"/>
      <c r="B414" s="23" t="n"/>
      <c r="C414" s="24" t="n"/>
      <c r="D414" s="24" t="n"/>
      <c r="E414" s="24" t="n"/>
      <c r="F414" s="22" t="n"/>
      <c r="G414" s="25" t="n"/>
      <c r="H414" s="26" t="n"/>
      <c r="I414" s="26" t="n"/>
      <c r="J414" s="26" t="n"/>
      <c r="K414" s="26" t="n"/>
      <c r="L414" s="26" t="n"/>
      <c r="M414" s="26" t="n"/>
      <c r="N414" s="26" t="n"/>
      <c r="O414" s="26" t="n"/>
      <c r="P414" s="22" t="n"/>
      <c r="Q414" s="24" t="n"/>
      <c r="R414" s="24" t="n"/>
      <c r="S414" s="27" t="n"/>
      <c r="T414" s="28">
        <f>IF(Q414="","",IF(Q414="SUCCESS",1,0))</f>
        <v/>
      </c>
      <c r="U414" s="29">
        <f>IF(OR(N414="",Q414&lt;&gt;"SUCCESS"),"",N414-SUM(I414:M414))</f>
        <v/>
      </c>
      <c r="V414" s="30">
        <f>IF(OR(N414="",N414=0,L414=""),"",L414/N414)</f>
        <v/>
      </c>
      <c r="W414" s="29">
        <f>IF(OR(N414="",G414="",G414=0),"",N414/(G414/60))</f>
        <v/>
      </c>
    </row>
    <row r="415">
      <c r="A415" s="22" t="n"/>
      <c r="B415" s="23" t="n"/>
      <c r="C415" s="24" t="n"/>
      <c r="D415" s="24" t="n"/>
      <c r="E415" s="24" t="n"/>
      <c r="F415" s="22" t="n"/>
      <c r="G415" s="25" t="n"/>
      <c r="H415" s="26" t="n"/>
      <c r="I415" s="26" t="n"/>
      <c r="J415" s="26" t="n"/>
      <c r="K415" s="26" t="n"/>
      <c r="L415" s="26" t="n"/>
      <c r="M415" s="26" t="n"/>
      <c r="N415" s="26" t="n"/>
      <c r="O415" s="26" t="n"/>
      <c r="P415" s="22" t="n"/>
      <c r="Q415" s="24" t="n"/>
      <c r="R415" s="24" t="n"/>
      <c r="S415" s="27" t="n"/>
      <c r="T415" s="28">
        <f>IF(Q415="","",IF(Q415="SUCCESS",1,0))</f>
        <v/>
      </c>
      <c r="U415" s="29">
        <f>IF(OR(N415="",Q415&lt;&gt;"SUCCESS"),"",N415-SUM(I415:M415))</f>
        <v/>
      </c>
      <c r="V415" s="30">
        <f>IF(OR(N415="",N415=0,L415=""),"",L415/N415)</f>
        <v/>
      </c>
      <c r="W415" s="29">
        <f>IF(OR(N415="",G415="",G415=0),"",N415/(G415/60))</f>
        <v/>
      </c>
    </row>
    <row r="416">
      <c r="A416" s="22" t="n"/>
      <c r="B416" s="23" t="n"/>
      <c r="C416" s="24" t="n"/>
      <c r="D416" s="24" t="n"/>
      <c r="E416" s="24" t="n"/>
      <c r="F416" s="22" t="n"/>
      <c r="G416" s="25" t="n"/>
      <c r="H416" s="26" t="n"/>
      <c r="I416" s="26" t="n"/>
      <c r="J416" s="26" t="n"/>
      <c r="K416" s="26" t="n"/>
      <c r="L416" s="26" t="n"/>
      <c r="M416" s="26" t="n"/>
      <c r="N416" s="26" t="n"/>
      <c r="O416" s="26" t="n"/>
      <c r="P416" s="22" t="n"/>
      <c r="Q416" s="24" t="n"/>
      <c r="R416" s="24" t="n"/>
      <c r="S416" s="27" t="n"/>
      <c r="T416" s="28">
        <f>IF(Q416="","",IF(Q416="SUCCESS",1,0))</f>
        <v/>
      </c>
      <c r="U416" s="29">
        <f>IF(OR(N416="",Q416&lt;&gt;"SUCCESS"),"",N416-SUM(I416:M416))</f>
        <v/>
      </c>
      <c r="V416" s="30">
        <f>IF(OR(N416="",N416=0,L416=""),"",L416/N416)</f>
        <v/>
      </c>
      <c r="W416" s="29">
        <f>IF(OR(N416="",G416="",G416=0),"",N416/(G416/60))</f>
        <v/>
      </c>
    </row>
    <row r="417">
      <c r="A417" s="22" t="n"/>
      <c r="B417" s="23" t="n"/>
      <c r="C417" s="24" t="n"/>
      <c r="D417" s="24" t="n"/>
      <c r="E417" s="24" t="n"/>
      <c r="F417" s="22" t="n"/>
      <c r="G417" s="25" t="n"/>
      <c r="H417" s="26" t="n"/>
      <c r="I417" s="26" t="n"/>
      <c r="J417" s="26" t="n"/>
      <c r="K417" s="26" t="n"/>
      <c r="L417" s="26" t="n"/>
      <c r="M417" s="26" t="n"/>
      <c r="N417" s="26" t="n"/>
      <c r="O417" s="26" t="n"/>
      <c r="P417" s="22" t="n"/>
      <c r="Q417" s="24" t="n"/>
      <c r="R417" s="24" t="n"/>
      <c r="S417" s="27" t="n"/>
      <c r="T417" s="28">
        <f>IF(Q417="","",IF(Q417="SUCCESS",1,0))</f>
        <v/>
      </c>
      <c r="U417" s="29">
        <f>IF(OR(N417="",Q417&lt;&gt;"SUCCESS"),"",N417-SUM(I417:M417))</f>
        <v/>
      </c>
      <c r="V417" s="30">
        <f>IF(OR(N417="",N417=0,L417=""),"",L417/N417)</f>
        <v/>
      </c>
      <c r="W417" s="29">
        <f>IF(OR(N417="",G417="",G417=0),"",N417/(G417/60))</f>
        <v/>
      </c>
    </row>
    <row r="418">
      <c r="A418" s="22" t="n"/>
      <c r="B418" s="23" t="n"/>
      <c r="C418" s="24" t="n"/>
      <c r="D418" s="24" t="n"/>
      <c r="E418" s="24" t="n"/>
      <c r="F418" s="22" t="n"/>
      <c r="G418" s="25" t="n"/>
      <c r="H418" s="26" t="n"/>
      <c r="I418" s="26" t="n"/>
      <c r="J418" s="26" t="n"/>
      <c r="K418" s="26" t="n"/>
      <c r="L418" s="26" t="n"/>
      <c r="M418" s="26" t="n"/>
      <c r="N418" s="26" t="n"/>
      <c r="O418" s="26" t="n"/>
      <c r="P418" s="22" t="n"/>
      <c r="Q418" s="24" t="n"/>
      <c r="R418" s="24" t="n"/>
      <c r="S418" s="27" t="n"/>
      <c r="T418" s="28">
        <f>IF(Q418="","",IF(Q418="SUCCESS",1,0))</f>
        <v/>
      </c>
      <c r="U418" s="29">
        <f>IF(OR(N418="",Q418&lt;&gt;"SUCCESS"),"",N418-SUM(I418:M418))</f>
        <v/>
      </c>
      <c r="V418" s="30">
        <f>IF(OR(N418="",N418=0,L418=""),"",L418/N418)</f>
        <v/>
      </c>
      <c r="W418" s="29">
        <f>IF(OR(N418="",G418="",G418=0),"",N418/(G418/60))</f>
        <v/>
      </c>
    </row>
    <row r="419">
      <c r="A419" s="22" t="n"/>
      <c r="B419" s="23" t="n"/>
      <c r="C419" s="24" t="n"/>
      <c r="D419" s="24" t="n"/>
      <c r="E419" s="24" t="n"/>
      <c r="F419" s="22" t="n"/>
      <c r="G419" s="25" t="n"/>
      <c r="H419" s="26" t="n"/>
      <c r="I419" s="26" t="n"/>
      <c r="J419" s="26" t="n"/>
      <c r="K419" s="26" t="n"/>
      <c r="L419" s="26" t="n"/>
      <c r="M419" s="26" t="n"/>
      <c r="N419" s="26" t="n"/>
      <c r="O419" s="26" t="n"/>
      <c r="P419" s="22" t="n"/>
      <c r="Q419" s="24" t="n"/>
      <c r="R419" s="24" t="n"/>
      <c r="S419" s="27" t="n"/>
      <c r="T419" s="28">
        <f>IF(Q419="","",IF(Q419="SUCCESS",1,0))</f>
        <v/>
      </c>
      <c r="U419" s="29">
        <f>IF(OR(N419="",Q419&lt;&gt;"SUCCESS"),"",N419-SUM(I419:M419))</f>
        <v/>
      </c>
      <c r="V419" s="30">
        <f>IF(OR(N419="",N419=0,L419=""),"",L419/N419)</f>
        <v/>
      </c>
      <c r="W419" s="29">
        <f>IF(OR(N419="",G419="",G419=0),"",N419/(G419/60))</f>
        <v/>
      </c>
    </row>
    <row r="420">
      <c r="A420" s="22" t="n"/>
      <c r="B420" s="23" t="n"/>
      <c r="C420" s="24" t="n"/>
      <c r="D420" s="24" t="n"/>
      <c r="E420" s="24" t="n"/>
      <c r="F420" s="22" t="n"/>
      <c r="G420" s="25" t="n"/>
      <c r="H420" s="26" t="n"/>
      <c r="I420" s="26" t="n"/>
      <c r="J420" s="26" t="n"/>
      <c r="K420" s="26" t="n"/>
      <c r="L420" s="26" t="n"/>
      <c r="M420" s="26" t="n"/>
      <c r="N420" s="26" t="n"/>
      <c r="O420" s="26" t="n"/>
      <c r="P420" s="22" t="n"/>
      <c r="Q420" s="24" t="n"/>
      <c r="R420" s="24" t="n"/>
      <c r="S420" s="27" t="n"/>
      <c r="T420" s="28">
        <f>IF(Q420="","",IF(Q420="SUCCESS",1,0))</f>
        <v/>
      </c>
      <c r="U420" s="29">
        <f>IF(OR(N420="",Q420&lt;&gt;"SUCCESS"),"",N420-SUM(I420:M420))</f>
        <v/>
      </c>
      <c r="V420" s="30">
        <f>IF(OR(N420="",N420=0,L420=""),"",L420/N420)</f>
        <v/>
      </c>
      <c r="W420" s="29">
        <f>IF(OR(N420="",G420="",G420=0),"",N420/(G420/60))</f>
        <v/>
      </c>
    </row>
    <row r="421">
      <c r="A421" s="22" t="n"/>
      <c r="B421" s="23" t="n"/>
      <c r="C421" s="24" t="n"/>
      <c r="D421" s="24" t="n"/>
      <c r="E421" s="24" t="n"/>
      <c r="F421" s="22" t="n"/>
      <c r="G421" s="25" t="n"/>
      <c r="H421" s="26" t="n"/>
      <c r="I421" s="26" t="n"/>
      <c r="J421" s="26" t="n"/>
      <c r="K421" s="26" t="n"/>
      <c r="L421" s="26" t="n"/>
      <c r="M421" s="26" t="n"/>
      <c r="N421" s="26" t="n"/>
      <c r="O421" s="26" t="n"/>
      <c r="P421" s="22" t="n"/>
      <c r="Q421" s="24" t="n"/>
      <c r="R421" s="24" t="n"/>
      <c r="S421" s="27" t="n"/>
      <c r="T421" s="28">
        <f>IF(Q421="","",IF(Q421="SUCCESS",1,0))</f>
        <v/>
      </c>
      <c r="U421" s="29">
        <f>IF(OR(N421="",Q421&lt;&gt;"SUCCESS"),"",N421-SUM(I421:M421))</f>
        <v/>
      </c>
      <c r="V421" s="30">
        <f>IF(OR(N421="",N421=0,L421=""),"",L421/N421)</f>
        <v/>
      </c>
      <c r="W421" s="29">
        <f>IF(OR(N421="",G421="",G421=0),"",N421/(G421/60))</f>
        <v/>
      </c>
    </row>
    <row r="422">
      <c r="A422" s="22" t="n"/>
      <c r="B422" s="23" t="n"/>
      <c r="C422" s="24" t="n"/>
      <c r="D422" s="24" t="n"/>
      <c r="E422" s="24" t="n"/>
      <c r="F422" s="22" t="n"/>
      <c r="G422" s="25" t="n"/>
      <c r="H422" s="26" t="n"/>
      <c r="I422" s="26" t="n"/>
      <c r="J422" s="26" t="n"/>
      <c r="K422" s="26" t="n"/>
      <c r="L422" s="26" t="n"/>
      <c r="M422" s="26" t="n"/>
      <c r="N422" s="26" t="n"/>
      <c r="O422" s="26" t="n"/>
      <c r="P422" s="22" t="n"/>
      <c r="Q422" s="24" t="n"/>
      <c r="R422" s="24" t="n"/>
      <c r="S422" s="27" t="n"/>
      <c r="T422" s="28">
        <f>IF(Q422="","",IF(Q422="SUCCESS",1,0))</f>
        <v/>
      </c>
      <c r="U422" s="29">
        <f>IF(OR(N422="",Q422&lt;&gt;"SUCCESS"),"",N422-SUM(I422:M422))</f>
        <v/>
      </c>
      <c r="V422" s="30">
        <f>IF(OR(N422="",N422=0,L422=""),"",L422/N422)</f>
        <v/>
      </c>
      <c r="W422" s="29">
        <f>IF(OR(N422="",G422="",G422=0),"",N422/(G422/60))</f>
        <v/>
      </c>
    </row>
    <row r="423">
      <c r="A423" s="22" t="n"/>
      <c r="B423" s="23" t="n"/>
      <c r="C423" s="24" t="n"/>
      <c r="D423" s="24" t="n"/>
      <c r="E423" s="24" t="n"/>
      <c r="F423" s="22" t="n"/>
      <c r="G423" s="25" t="n"/>
      <c r="H423" s="26" t="n"/>
      <c r="I423" s="26" t="n"/>
      <c r="J423" s="26" t="n"/>
      <c r="K423" s="26" t="n"/>
      <c r="L423" s="26" t="n"/>
      <c r="M423" s="26" t="n"/>
      <c r="N423" s="26" t="n"/>
      <c r="O423" s="26" t="n"/>
      <c r="P423" s="22" t="n"/>
      <c r="Q423" s="24" t="n"/>
      <c r="R423" s="24" t="n"/>
      <c r="S423" s="27" t="n"/>
      <c r="T423" s="28">
        <f>IF(Q423="","",IF(Q423="SUCCESS",1,0))</f>
        <v/>
      </c>
      <c r="U423" s="29">
        <f>IF(OR(N423="",Q423&lt;&gt;"SUCCESS"),"",N423-SUM(I423:M423))</f>
        <v/>
      </c>
      <c r="V423" s="30">
        <f>IF(OR(N423="",N423=0,L423=""),"",L423/N423)</f>
        <v/>
      </c>
      <c r="W423" s="29">
        <f>IF(OR(N423="",G423="",G423=0),"",N423/(G423/60))</f>
        <v/>
      </c>
    </row>
    <row r="424">
      <c r="A424" s="22" t="n"/>
      <c r="B424" s="23" t="n"/>
      <c r="C424" s="24" t="n"/>
      <c r="D424" s="24" t="n"/>
      <c r="E424" s="24" t="n"/>
      <c r="F424" s="22" t="n"/>
      <c r="G424" s="25" t="n"/>
      <c r="H424" s="26" t="n"/>
      <c r="I424" s="26" t="n"/>
      <c r="J424" s="26" t="n"/>
      <c r="K424" s="26" t="n"/>
      <c r="L424" s="26" t="n"/>
      <c r="M424" s="26" t="n"/>
      <c r="N424" s="26" t="n"/>
      <c r="O424" s="26" t="n"/>
      <c r="P424" s="22" t="n"/>
      <c r="Q424" s="24" t="n"/>
      <c r="R424" s="24" t="n"/>
      <c r="S424" s="27" t="n"/>
      <c r="T424" s="28">
        <f>IF(Q424="","",IF(Q424="SUCCESS",1,0))</f>
        <v/>
      </c>
      <c r="U424" s="29">
        <f>IF(OR(N424="",Q424&lt;&gt;"SUCCESS"),"",N424-SUM(I424:M424))</f>
        <v/>
      </c>
      <c r="V424" s="30">
        <f>IF(OR(N424="",N424=0,L424=""),"",L424/N424)</f>
        <v/>
      </c>
      <c r="W424" s="29">
        <f>IF(OR(N424="",G424="",G424=0),"",N424/(G424/60))</f>
        <v/>
      </c>
    </row>
    <row r="425">
      <c r="A425" s="22" t="n"/>
      <c r="B425" s="23" t="n"/>
      <c r="C425" s="24" t="n"/>
      <c r="D425" s="24" t="n"/>
      <c r="E425" s="24" t="n"/>
      <c r="F425" s="22" t="n"/>
      <c r="G425" s="25" t="n"/>
      <c r="H425" s="26" t="n"/>
      <c r="I425" s="26" t="n"/>
      <c r="J425" s="26" t="n"/>
      <c r="K425" s="26" t="n"/>
      <c r="L425" s="26" t="n"/>
      <c r="M425" s="26" t="n"/>
      <c r="N425" s="26" t="n"/>
      <c r="O425" s="26" t="n"/>
      <c r="P425" s="22" t="n"/>
      <c r="Q425" s="24" t="n"/>
      <c r="R425" s="24" t="n"/>
      <c r="S425" s="27" t="n"/>
      <c r="T425" s="28">
        <f>IF(Q425="","",IF(Q425="SUCCESS",1,0))</f>
        <v/>
      </c>
      <c r="U425" s="29">
        <f>IF(OR(N425="",Q425&lt;&gt;"SUCCESS"),"",N425-SUM(I425:M425))</f>
        <v/>
      </c>
      <c r="V425" s="30">
        <f>IF(OR(N425="",N425=0,L425=""),"",L425/N425)</f>
        <v/>
      </c>
      <c r="W425" s="29">
        <f>IF(OR(N425="",G425="",G425=0),"",N425/(G425/60))</f>
        <v/>
      </c>
    </row>
    <row r="426">
      <c r="A426" s="22" t="n"/>
      <c r="B426" s="23" t="n"/>
      <c r="C426" s="24" t="n"/>
      <c r="D426" s="24" t="n"/>
      <c r="E426" s="24" t="n"/>
      <c r="F426" s="22" t="n"/>
      <c r="G426" s="25" t="n"/>
      <c r="H426" s="26" t="n"/>
      <c r="I426" s="26" t="n"/>
      <c r="J426" s="26" t="n"/>
      <c r="K426" s="26" t="n"/>
      <c r="L426" s="26" t="n"/>
      <c r="M426" s="26" t="n"/>
      <c r="N426" s="26" t="n"/>
      <c r="O426" s="26" t="n"/>
      <c r="P426" s="22" t="n"/>
      <c r="Q426" s="24" t="n"/>
      <c r="R426" s="24" t="n"/>
      <c r="S426" s="27" t="n"/>
      <c r="T426" s="28">
        <f>IF(Q426="","",IF(Q426="SUCCESS",1,0))</f>
        <v/>
      </c>
      <c r="U426" s="29">
        <f>IF(OR(N426="",Q426&lt;&gt;"SUCCESS"),"",N426-SUM(I426:M426))</f>
        <v/>
      </c>
      <c r="V426" s="30">
        <f>IF(OR(N426="",N426=0,L426=""),"",L426/N426)</f>
        <v/>
      </c>
      <c r="W426" s="29">
        <f>IF(OR(N426="",G426="",G426=0),"",N426/(G426/60))</f>
        <v/>
      </c>
    </row>
    <row r="427">
      <c r="A427" s="22" t="n"/>
      <c r="B427" s="23" t="n"/>
      <c r="C427" s="24" t="n"/>
      <c r="D427" s="24" t="n"/>
      <c r="E427" s="24" t="n"/>
      <c r="F427" s="22" t="n"/>
      <c r="G427" s="25" t="n"/>
      <c r="H427" s="26" t="n"/>
      <c r="I427" s="26" t="n"/>
      <c r="J427" s="26" t="n"/>
      <c r="K427" s="26" t="n"/>
      <c r="L427" s="26" t="n"/>
      <c r="M427" s="26" t="n"/>
      <c r="N427" s="26" t="n"/>
      <c r="O427" s="26" t="n"/>
      <c r="P427" s="22" t="n"/>
      <c r="Q427" s="24" t="n"/>
      <c r="R427" s="24" t="n"/>
      <c r="S427" s="27" t="n"/>
      <c r="T427" s="28">
        <f>IF(Q427="","",IF(Q427="SUCCESS",1,0))</f>
        <v/>
      </c>
      <c r="U427" s="29">
        <f>IF(OR(N427="",Q427&lt;&gt;"SUCCESS"),"",N427-SUM(I427:M427))</f>
        <v/>
      </c>
      <c r="V427" s="30">
        <f>IF(OR(N427="",N427=0,L427=""),"",L427/N427)</f>
        <v/>
      </c>
      <c r="W427" s="29">
        <f>IF(OR(N427="",G427="",G427=0),"",N427/(G427/60))</f>
        <v/>
      </c>
    </row>
    <row r="428">
      <c r="A428" s="22" t="n"/>
      <c r="B428" s="23" t="n"/>
      <c r="C428" s="24" t="n"/>
      <c r="D428" s="24" t="n"/>
      <c r="E428" s="24" t="n"/>
      <c r="F428" s="22" t="n"/>
      <c r="G428" s="25" t="n"/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2" t="n"/>
      <c r="Q428" s="24" t="n"/>
      <c r="R428" s="24" t="n"/>
      <c r="S428" s="27" t="n"/>
      <c r="T428" s="28">
        <f>IF(Q428="","",IF(Q428="SUCCESS",1,0))</f>
        <v/>
      </c>
      <c r="U428" s="29">
        <f>IF(OR(N428="",Q428&lt;&gt;"SUCCESS"),"",N428-SUM(I428:M428))</f>
        <v/>
      </c>
      <c r="V428" s="30">
        <f>IF(OR(N428="",N428=0,L428=""),"",L428/N428)</f>
        <v/>
      </c>
      <c r="W428" s="29">
        <f>IF(OR(N428="",G428="",G428=0),"",N428/(G428/60))</f>
        <v/>
      </c>
    </row>
    <row r="429">
      <c r="A429" s="22" t="n"/>
      <c r="B429" s="23" t="n"/>
      <c r="C429" s="24" t="n"/>
      <c r="D429" s="24" t="n"/>
      <c r="E429" s="24" t="n"/>
      <c r="F429" s="22" t="n"/>
      <c r="G429" s="25" t="n"/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2" t="n"/>
      <c r="Q429" s="24" t="n"/>
      <c r="R429" s="24" t="n"/>
      <c r="S429" s="27" t="n"/>
      <c r="T429" s="28">
        <f>IF(Q429="","",IF(Q429="SUCCESS",1,0))</f>
        <v/>
      </c>
      <c r="U429" s="29">
        <f>IF(OR(N429="",Q429&lt;&gt;"SUCCESS"),"",N429-SUM(I429:M429))</f>
        <v/>
      </c>
      <c r="V429" s="30">
        <f>IF(OR(N429="",N429=0,L429=""),"",L429/N429)</f>
        <v/>
      </c>
      <c r="W429" s="29">
        <f>IF(OR(N429="",G429="",G429=0),"",N429/(G429/60))</f>
        <v/>
      </c>
    </row>
    <row r="430">
      <c r="A430" s="22" t="n"/>
      <c r="B430" s="23" t="n"/>
      <c r="C430" s="24" t="n"/>
      <c r="D430" s="24" t="n"/>
      <c r="E430" s="24" t="n"/>
      <c r="F430" s="22" t="n"/>
      <c r="G430" s="25" t="n"/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2" t="n"/>
      <c r="Q430" s="24" t="n"/>
      <c r="R430" s="24" t="n"/>
      <c r="S430" s="27" t="n"/>
      <c r="T430" s="28">
        <f>IF(Q430="","",IF(Q430="SUCCESS",1,0))</f>
        <v/>
      </c>
      <c r="U430" s="29">
        <f>IF(OR(N430="",Q430&lt;&gt;"SUCCESS"),"",N430-SUM(I430:M430))</f>
        <v/>
      </c>
      <c r="V430" s="30">
        <f>IF(OR(N430="",N430=0,L430=""),"",L430/N430)</f>
        <v/>
      </c>
      <c r="W430" s="29">
        <f>IF(OR(N430="",G430="",G430=0),"",N430/(G430/60))</f>
        <v/>
      </c>
    </row>
    <row r="431">
      <c r="A431" s="22" t="n"/>
      <c r="B431" s="23" t="n"/>
      <c r="C431" s="24" t="n"/>
      <c r="D431" s="24" t="n"/>
      <c r="E431" s="24" t="n"/>
      <c r="F431" s="22" t="n"/>
      <c r="G431" s="25" t="n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2" t="n"/>
      <c r="Q431" s="24" t="n"/>
      <c r="R431" s="24" t="n"/>
      <c r="S431" s="27" t="n"/>
      <c r="T431" s="28">
        <f>IF(Q431="","",IF(Q431="SUCCESS",1,0))</f>
        <v/>
      </c>
      <c r="U431" s="29">
        <f>IF(OR(N431="",Q431&lt;&gt;"SUCCESS"),"",N431-SUM(I431:M431))</f>
        <v/>
      </c>
      <c r="V431" s="30">
        <f>IF(OR(N431="",N431=0,L431=""),"",L431/N431)</f>
        <v/>
      </c>
      <c r="W431" s="29">
        <f>IF(OR(N431="",G431="",G431=0),"",N431/(G431/60))</f>
        <v/>
      </c>
    </row>
    <row r="432">
      <c r="A432" s="22" t="n"/>
      <c r="B432" s="23" t="n"/>
      <c r="C432" s="24" t="n"/>
      <c r="D432" s="24" t="n"/>
      <c r="E432" s="24" t="n"/>
      <c r="F432" s="22" t="n"/>
      <c r="G432" s="25" t="n"/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2" t="n"/>
      <c r="Q432" s="24" t="n"/>
      <c r="R432" s="24" t="n"/>
      <c r="S432" s="27" t="n"/>
      <c r="T432" s="28">
        <f>IF(Q432="","",IF(Q432="SUCCESS",1,0))</f>
        <v/>
      </c>
      <c r="U432" s="29">
        <f>IF(OR(N432="",Q432&lt;&gt;"SUCCESS"),"",N432-SUM(I432:M432))</f>
        <v/>
      </c>
      <c r="V432" s="30">
        <f>IF(OR(N432="",N432=0,L432=""),"",L432/N432)</f>
        <v/>
      </c>
      <c r="W432" s="29">
        <f>IF(OR(N432="",G432="",G432=0),"",N432/(G432/60))</f>
        <v/>
      </c>
    </row>
    <row r="433">
      <c r="A433" s="22" t="n"/>
      <c r="B433" s="23" t="n"/>
      <c r="C433" s="24" t="n"/>
      <c r="D433" s="24" t="n"/>
      <c r="E433" s="24" t="n"/>
      <c r="F433" s="22" t="n"/>
      <c r="G433" s="25" t="n"/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2" t="n"/>
      <c r="Q433" s="24" t="n"/>
      <c r="R433" s="24" t="n"/>
      <c r="S433" s="27" t="n"/>
      <c r="T433" s="28">
        <f>IF(Q433="","",IF(Q433="SUCCESS",1,0))</f>
        <v/>
      </c>
      <c r="U433" s="29">
        <f>IF(OR(N433="",Q433&lt;&gt;"SUCCESS"),"",N433-SUM(I433:M433))</f>
        <v/>
      </c>
      <c r="V433" s="30">
        <f>IF(OR(N433="",N433=0,L433=""),"",L433/N433)</f>
        <v/>
      </c>
      <c r="W433" s="29">
        <f>IF(OR(N433="",G433="",G433=0),"",N433/(G433/60))</f>
        <v/>
      </c>
    </row>
    <row r="434">
      <c r="A434" s="22" t="n"/>
      <c r="B434" s="23" t="n"/>
      <c r="C434" s="24" t="n"/>
      <c r="D434" s="24" t="n"/>
      <c r="E434" s="24" t="n"/>
      <c r="F434" s="22" t="n"/>
      <c r="G434" s="25" t="n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2" t="n"/>
      <c r="Q434" s="24" t="n"/>
      <c r="R434" s="24" t="n"/>
      <c r="S434" s="27" t="n"/>
      <c r="T434" s="28">
        <f>IF(Q434="","",IF(Q434="SUCCESS",1,0))</f>
        <v/>
      </c>
      <c r="U434" s="29">
        <f>IF(OR(N434="",Q434&lt;&gt;"SUCCESS"),"",N434-SUM(I434:M434))</f>
        <v/>
      </c>
      <c r="V434" s="30">
        <f>IF(OR(N434="",N434=0,L434=""),"",L434/N434)</f>
        <v/>
      </c>
      <c r="W434" s="29">
        <f>IF(OR(N434="",G434="",G434=0),"",N434/(G434/60))</f>
        <v/>
      </c>
    </row>
    <row r="435">
      <c r="A435" s="22" t="n"/>
      <c r="B435" s="23" t="n"/>
      <c r="C435" s="24" t="n"/>
      <c r="D435" s="24" t="n"/>
      <c r="E435" s="24" t="n"/>
      <c r="F435" s="22" t="n"/>
      <c r="G435" s="25" t="n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2" t="n"/>
      <c r="Q435" s="24" t="n"/>
      <c r="R435" s="24" t="n"/>
      <c r="S435" s="27" t="n"/>
      <c r="T435" s="28">
        <f>IF(Q435="","",IF(Q435="SUCCESS",1,0))</f>
        <v/>
      </c>
      <c r="U435" s="29">
        <f>IF(OR(N435="",Q435&lt;&gt;"SUCCESS"),"",N435-SUM(I435:M435))</f>
        <v/>
      </c>
      <c r="V435" s="30">
        <f>IF(OR(N435="",N435=0,L435=""),"",L435/N435)</f>
        <v/>
      </c>
      <c r="W435" s="29">
        <f>IF(OR(N435="",G435="",G435=0),"",N435/(G435/60))</f>
        <v/>
      </c>
    </row>
    <row r="436">
      <c r="A436" s="22" t="n"/>
      <c r="B436" s="23" t="n"/>
      <c r="C436" s="24" t="n"/>
      <c r="D436" s="24" t="n"/>
      <c r="E436" s="24" t="n"/>
      <c r="F436" s="22" t="n"/>
      <c r="G436" s="25" t="n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2" t="n"/>
      <c r="Q436" s="24" t="n"/>
      <c r="R436" s="24" t="n"/>
      <c r="S436" s="27" t="n"/>
      <c r="T436" s="28">
        <f>IF(Q436="","",IF(Q436="SUCCESS",1,0))</f>
        <v/>
      </c>
      <c r="U436" s="29">
        <f>IF(OR(N436="",Q436&lt;&gt;"SUCCESS"),"",N436-SUM(I436:M436))</f>
        <v/>
      </c>
      <c r="V436" s="30">
        <f>IF(OR(N436="",N436=0,L436=""),"",L436/N436)</f>
        <v/>
      </c>
      <c r="W436" s="29">
        <f>IF(OR(N436="",G436="",G436=0),"",N436/(G436/60))</f>
        <v/>
      </c>
    </row>
    <row r="437">
      <c r="A437" s="22" t="n"/>
      <c r="B437" s="23" t="n"/>
      <c r="C437" s="24" t="n"/>
      <c r="D437" s="24" t="n"/>
      <c r="E437" s="24" t="n"/>
      <c r="F437" s="22" t="n"/>
      <c r="G437" s="25" t="n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2" t="n"/>
      <c r="Q437" s="24" t="n"/>
      <c r="R437" s="24" t="n"/>
      <c r="S437" s="27" t="n"/>
      <c r="T437" s="28">
        <f>IF(Q437="","",IF(Q437="SUCCESS",1,0))</f>
        <v/>
      </c>
      <c r="U437" s="29">
        <f>IF(OR(N437="",Q437&lt;&gt;"SUCCESS"),"",N437-SUM(I437:M437))</f>
        <v/>
      </c>
      <c r="V437" s="30">
        <f>IF(OR(N437="",N437=0,L437=""),"",L437/N437)</f>
        <v/>
      </c>
      <c r="W437" s="29">
        <f>IF(OR(N437="",G437="",G437=0),"",N437/(G437/60))</f>
        <v/>
      </c>
    </row>
    <row r="438">
      <c r="A438" s="22" t="n"/>
      <c r="B438" s="23" t="n"/>
      <c r="C438" s="24" t="n"/>
      <c r="D438" s="24" t="n"/>
      <c r="E438" s="24" t="n"/>
      <c r="F438" s="22" t="n"/>
      <c r="G438" s="25" t="n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2" t="n"/>
      <c r="Q438" s="24" t="n"/>
      <c r="R438" s="24" t="n"/>
      <c r="S438" s="27" t="n"/>
      <c r="T438" s="28">
        <f>IF(Q438="","",IF(Q438="SUCCESS",1,0))</f>
        <v/>
      </c>
      <c r="U438" s="29">
        <f>IF(OR(N438="",Q438&lt;&gt;"SUCCESS"),"",N438-SUM(I438:M438))</f>
        <v/>
      </c>
      <c r="V438" s="30">
        <f>IF(OR(N438="",N438=0,L438=""),"",L438/N438)</f>
        <v/>
      </c>
      <c r="W438" s="29">
        <f>IF(OR(N438="",G438="",G438=0),"",N438/(G438/60))</f>
        <v/>
      </c>
    </row>
    <row r="439">
      <c r="A439" s="22" t="n"/>
      <c r="B439" s="23" t="n"/>
      <c r="C439" s="24" t="n"/>
      <c r="D439" s="24" t="n"/>
      <c r="E439" s="24" t="n"/>
      <c r="F439" s="22" t="n"/>
      <c r="G439" s="25" t="n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2" t="n"/>
      <c r="Q439" s="24" t="n"/>
      <c r="R439" s="24" t="n"/>
      <c r="S439" s="27" t="n"/>
      <c r="T439" s="28">
        <f>IF(Q439="","",IF(Q439="SUCCESS",1,0))</f>
        <v/>
      </c>
      <c r="U439" s="29">
        <f>IF(OR(N439="",Q439&lt;&gt;"SUCCESS"),"",N439-SUM(I439:M439))</f>
        <v/>
      </c>
      <c r="V439" s="30">
        <f>IF(OR(N439="",N439=0,L439=""),"",L439/N439)</f>
        <v/>
      </c>
      <c r="W439" s="29">
        <f>IF(OR(N439="",G439="",G439=0),"",N439/(G439/60))</f>
        <v/>
      </c>
    </row>
    <row r="440">
      <c r="A440" s="22" t="n"/>
      <c r="B440" s="23" t="n"/>
      <c r="C440" s="24" t="n"/>
      <c r="D440" s="24" t="n"/>
      <c r="E440" s="24" t="n"/>
      <c r="F440" s="22" t="n"/>
      <c r="G440" s="25" t="n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2" t="n"/>
      <c r="Q440" s="24" t="n"/>
      <c r="R440" s="24" t="n"/>
      <c r="S440" s="27" t="n"/>
      <c r="T440" s="28">
        <f>IF(Q440="","",IF(Q440="SUCCESS",1,0))</f>
        <v/>
      </c>
      <c r="U440" s="29">
        <f>IF(OR(N440="",Q440&lt;&gt;"SUCCESS"),"",N440-SUM(I440:M440))</f>
        <v/>
      </c>
      <c r="V440" s="30">
        <f>IF(OR(N440="",N440=0,L440=""),"",L440/N440)</f>
        <v/>
      </c>
      <c r="W440" s="29">
        <f>IF(OR(N440="",G440="",G440=0),"",N440/(G440/60))</f>
        <v/>
      </c>
    </row>
    <row r="441">
      <c r="A441" s="22" t="n"/>
      <c r="B441" s="23" t="n"/>
      <c r="C441" s="24" t="n"/>
      <c r="D441" s="24" t="n"/>
      <c r="E441" s="24" t="n"/>
      <c r="F441" s="22" t="n"/>
      <c r="G441" s="25" t="n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2" t="n"/>
      <c r="Q441" s="24" t="n"/>
      <c r="R441" s="24" t="n"/>
      <c r="S441" s="27" t="n"/>
      <c r="T441" s="28">
        <f>IF(Q441="","",IF(Q441="SUCCESS",1,0))</f>
        <v/>
      </c>
      <c r="U441" s="29">
        <f>IF(OR(N441="",Q441&lt;&gt;"SUCCESS"),"",N441-SUM(I441:M441))</f>
        <v/>
      </c>
      <c r="V441" s="30">
        <f>IF(OR(N441="",N441=0,L441=""),"",L441/N441)</f>
        <v/>
      </c>
      <c r="W441" s="29">
        <f>IF(OR(N441="",G441="",G441=0),"",N441/(G441/60))</f>
        <v/>
      </c>
    </row>
    <row r="442">
      <c r="A442" s="22" t="n"/>
      <c r="B442" s="23" t="n"/>
      <c r="C442" s="24" t="n"/>
      <c r="D442" s="24" t="n"/>
      <c r="E442" s="24" t="n"/>
      <c r="F442" s="22" t="n"/>
      <c r="G442" s="25" t="n"/>
      <c r="H442" s="26" t="n"/>
      <c r="I442" s="26" t="n"/>
      <c r="J442" s="26" t="n"/>
      <c r="K442" s="26" t="n"/>
      <c r="L442" s="26" t="n"/>
      <c r="M442" s="26" t="n"/>
      <c r="N442" s="26" t="n"/>
      <c r="O442" s="26" t="n"/>
      <c r="P442" s="22" t="n"/>
      <c r="Q442" s="24" t="n"/>
      <c r="R442" s="24" t="n"/>
      <c r="S442" s="27" t="n"/>
      <c r="T442" s="28">
        <f>IF(Q442="","",IF(Q442="SUCCESS",1,0))</f>
        <v/>
      </c>
      <c r="U442" s="29">
        <f>IF(OR(N442="",Q442&lt;&gt;"SUCCESS"),"",N442-SUM(I442:M442))</f>
        <v/>
      </c>
      <c r="V442" s="30">
        <f>IF(OR(N442="",N442=0,L442=""),"",L442/N442)</f>
        <v/>
      </c>
      <c r="W442" s="29">
        <f>IF(OR(N442="",G442="",G442=0),"",N442/(G442/60))</f>
        <v/>
      </c>
    </row>
    <row r="443">
      <c r="A443" s="22" t="n"/>
      <c r="B443" s="23" t="n"/>
      <c r="C443" s="24" t="n"/>
      <c r="D443" s="24" t="n"/>
      <c r="E443" s="24" t="n"/>
      <c r="F443" s="22" t="n"/>
      <c r="G443" s="25" t="n"/>
      <c r="H443" s="26" t="n"/>
      <c r="I443" s="26" t="n"/>
      <c r="J443" s="26" t="n"/>
      <c r="K443" s="26" t="n"/>
      <c r="L443" s="26" t="n"/>
      <c r="M443" s="26" t="n"/>
      <c r="N443" s="26" t="n"/>
      <c r="O443" s="26" t="n"/>
      <c r="P443" s="22" t="n"/>
      <c r="Q443" s="24" t="n"/>
      <c r="R443" s="24" t="n"/>
      <c r="S443" s="27" t="n"/>
      <c r="T443" s="28">
        <f>IF(Q443="","",IF(Q443="SUCCESS",1,0))</f>
        <v/>
      </c>
      <c r="U443" s="29">
        <f>IF(OR(N443="",Q443&lt;&gt;"SUCCESS"),"",N443-SUM(I443:M443))</f>
        <v/>
      </c>
      <c r="V443" s="30">
        <f>IF(OR(N443="",N443=0,L443=""),"",L443/N443)</f>
        <v/>
      </c>
      <c r="W443" s="29">
        <f>IF(OR(N443="",G443="",G443=0),"",N443/(G443/60))</f>
        <v/>
      </c>
    </row>
    <row r="444">
      <c r="A444" s="22" t="n"/>
      <c r="B444" s="23" t="n"/>
      <c r="C444" s="24" t="n"/>
      <c r="D444" s="24" t="n"/>
      <c r="E444" s="24" t="n"/>
      <c r="F444" s="22" t="n"/>
      <c r="G444" s="25" t="n"/>
      <c r="H444" s="26" t="n"/>
      <c r="I444" s="26" t="n"/>
      <c r="J444" s="26" t="n"/>
      <c r="K444" s="26" t="n"/>
      <c r="L444" s="26" t="n"/>
      <c r="M444" s="26" t="n"/>
      <c r="N444" s="26" t="n"/>
      <c r="O444" s="26" t="n"/>
      <c r="P444" s="22" t="n"/>
      <c r="Q444" s="24" t="n"/>
      <c r="R444" s="24" t="n"/>
      <c r="S444" s="27" t="n"/>
      <c r="T444" s="28">
        <f>IF(Q444="","",IF(Q444="SUCCESS",1,0))</f>
        <v/>
      </c>
      <c r="U444" s="29">
        <f>IF(OR(N444="",Q444&lt;&gt;"SUCCESS"),"",N444-SUM(I444:M444))</f>
        <v/>
      </c>
      <c r="V444" s="30">
        <f>IF(OR(N444="",N444=0,L444=""),"",L444/N444)</f>
        <v/>
      </c>
      <c r="W444" s="29">
        <f>IF(OR(N444="",G444="",G444=0),"",N444/(G444/60))</f>
        <v/>
      </c>
    </row>
    <row r="445">
      <c r="A445" s="22" t="n"/>
      <c r="B445" s="23" t="n"/>
      <c r="C445" s="24" t="n"/>
      <c r="D445" s="24" t="n"/>
      <c r="E445" s="24" t="n"/>
      <c r="F445" s="22" t="n"/>
      <c r="G445" s="25" t="n"/>
      <c r="H445" s="26" t="n"/>
      <c r="I445" s="26" t="n"/>
      <c r="J445" s="26" t="n"/>
      <c r="K445" s="26" t="n"/>
      <c r="L445" s="26" t="n"/>
      <c r="M445" s="26" t="n"/>
      <c r="N445" s="26" t="n"/>
      <c r="O445" s="26" t="n"/>
      <c r="P445" s="22" t="n"/>
      <c r="Q445" s="24" t="n"/>
      <c r="R445" s="24" t="n"/>
      <c r="S445" s="27" t="n"/>
      <c r="T445" s="28">
        <f>IF(Q445="","",IF(Q445="SUCCESS",1,0))</f>
        <v/>
      </c>
      <c r="U445" s="29">
        <f>IF(OR(N445="",Q445&lt;&gt;"SUCCESS"),"",N445-SUM(I445:M445))</f>
        <v/>
      </c>
      <c r="V445" s="30">
        <f>IF(OR(N445="",N445=0,L445=""),"",L445/N445)</f>
        <v/>
      </c>
      <c r="W445" s="29">
        <f>IF(OR(N445="",G445="",G445=0),"",N445/(G445/60))</f>
        <v/>
      </c>
    </row>
    <row r="446">
      <c r="A446" s="22" t="n"/>
      <c r="B446" s="23" t="n"/>
      <c r="C446" s="24" t="n"/>
      <c r="D446" s="24" t="n"/>
      <c r="E446" s="24" t="n"/>
      <c r="F446" s="22" t="n"/>
      <c r="G446" s="25" t="n"/>
      <c r="H446" s="26" t="n"/>
      <c r="I446" s="26" t="n"/>
      <c r="J446" s="26" t="n"/>
      <c r="K446" s="26" t="n"/>
      <c r="L446" s="26" t="n"/>
      <c r="M446" s="26" t="n"/>
      <c r="N446" s="26" t="n"/>
      <c r="O446" s="26" t="n"/>
      <c r="P446" s="22" t="n"/>
      <c r="Q446" s="24" t="n"/>
      <c r="R446" s="24" t="n"/>
      <c r="S446" s="27" t="n"/>
      <c r="T446" s="28">
        <f>IF(Q446="","",IF(Q446="SUCCESS",1,0))</f>
        <v/>
      </c>
      <c r="U446" s="29">
        <f>IF(OR(N446="",Q446&lt;&gt;"SUCCESS"),"",N446-SUM(I446:M446))</f>
        <v/>
      </c>
      <c r="V446" s="30">
        <f>IF(OR(N446="",N446=0,L446=""),"",L446/N446)</f>
        <v/>
      </c>
      <c r="W446" s="29">
        <f>IF(OR(N446="",G446="",G446=0),"",N446/(G446/60))</f>
        <v/>
      </c>
    </row>
    <row r="447">
      <c r="A447" s="22" t="n"/>
      <c r="B447" s="23" t="n"/>
      <c r="C447" s="24" t="n"/>
      <c r="D447" s="24" t="n"/>
      <c r="E447" s="24" t="n"/>
      <c r="F447" s="22" t="n"/>
      <c r="G447" s="25" t="n"/>
      <c r="H447" s="26" t="n"/>
      <c r="I447" s="26" t="n"/>
      <c r="J447" s="26" t="n"/>
      <c r="K447" s="26" t="n"/>
      <c r="L447" s="26" t="n"/>
      <c r="M447" s="26" t="n"/>
      <c r="N447" s="26" t="n"/>
      <c r="O447" s="26" t="n"/>
      <c r="P447" s="22" t="n"/>
      <c r="Q447" s="24" t="n"/>
      <c r="R447" s="24" t="n"/>
      <c r="S447" s="27" t="n"/>
      <c r="T447" s="28">
        <f>IF(Q447="","",IF(Q447="SUCCESS",1,0))</f>
        <v/>
      </c>
      <c r="U447" s="29">
        <f>IF(OR(N447="",Q447&lt;&gt;"SUCCESS"),"",N447-SUM(I447:M447))</f>
        <v/>
      </c>
      <c r="V447" s="30">
        <f>IF(OR(N447="",N447=0,L447=""),"",L447/N447)</f>
        <v/>
      </c>
      <c r="W447" s="29">
        <f>IF(OR(N447="",G447="",G447=0),"",N447/(G447/60))</f>
        <v/>
      </c>
    </row>
    <row r="448">
      <c r="A448" s="22" t="n"/>
      <c r="B448" s="23" t="n"/>
      <c r="C448" s="24" t="n"/>
      <c r="D448" s="24" t="n"/>
      <c r="E448" s="24" t="n"/>
      <c r="F448" s="22" t="n"/>
      <c r="G448" s="25" t="n"/>
      <c r="H448" s="26" t="n"/>
      <c r="I448" s="26" t="n"/>
      <c r="J448" s="26" t="n"/>
      <c r="K448" s="26" t="n"/>
      <c r="L448" s="26" t="n"/>
      <c r="M448" s="26" t="n"/>
      <c r="N448" s="26" t="n"/>
      <c r="O448" s="26" t="n"/>
      <c r="P448" s="22" t="n"/>
      <c r="Q448" s="24" t="n"/>
      <c r="R448" s="24" t="n"/>
      <c r="S448" s="27" t="n"/>
      <c r="T448" s="28">
        <f>IF(Q448="","",IF(Q448="SUCCESS",1,0))</f>
        <v/>
      </c>
      <c r="U448" s="29">
        <f>IF(OR(N448="",Q448&lt;&gt;"SUCCESS"),"",N448-SUM(I448:M448))</f>
        <v/>
      </c>
      <c r="V448" s="30">
        <f>IF(OR(N448="",N448=0,L448=""),"",L448/N448)</f>
        <v/>
      </c>
      <c r="W448" s="29">
        <f>IF(OR(N448="",G448="",G448=0),"",N448/(G448/60))</f>
        <v/>
      </c>
    </row>
    <row r="449">
      <c r="A449" s="22" t="n"/>
      <c r="B449" s="23" t="n"/>
      <c r="C449" s="24" t="n"/>
      <c r="D449" s="24" t="n"/>
      <c r="E449" s="24" t="n"/>
      <c r="F449" s="22" t="n"/>
      <c r="G449" s="25" t="n"/>
      <c r="H449" s="26" t="n"/>
      <c r="I449" s="26" t="n"/>
      <c r="J449" s="26" t="n"/>
      <c r="K449" s="26" t="n"/>
      <c r="L449" s="26" t="n"/>
      <c r="M449" s="26" t="n"/>
      <c r="N449" s="26" t="n"/>
      <c r="O449" s="26" t="n"/>
      <c r="P449" s="22" t="n"/>
      <c r="Q449" s="24" t="n"/>
      <c r="R449" s="24" t="n"/>
      <c r="S449" s="27" t="n"/>
      <c r="T449" s="28">
        <f>IF(Q449="","",IF(Q449="SUCCESS",1,0))</f>
        <v/>
      </c>
      <c r="U449" s="29">
        <f>IF(OR(N449="",Q449&lt;&gt;"SUCCESS"),"",N449-SUM(I449:M449))</f>
        <v/>
      </c>
      <c r="V449" s="30">
        <f>IF(OR(N449="",N449=0,L449=""),"",L449/N449)</f>
        <v/>
      </c>
      <c r="W449" s="29">
        <f>IF(OR(N449="",G449="",G449=0),"",N449/(G449/60))</f>
        <v/>
      </c>
    </row>
    <row r="450">
      <c r="A450" s="22" t="n"/>
      <c r="B450" s="23" t="n"/>
      <c r="C450" s="24" t="n"/>
      <c r="D450" s="24" t="n"/>
      <c r="E450" s="24" t="n"/>
      <c r="F450" s="22" t="n"/>
      <c r="G450" s="25" t="n"/>
      <c r="H450" s="26" t="n"/>
      <c r="I450" s="26" t="n"/>
      <c r="J450" s="26" t="n"/>
      <c r="K450" s="26" t="n"/>
      <c r="L450" s="26" t="n"/>
      <c r="M450" s="26" t="n"/>
      <c r="N450" s="26" t="n"/>
      <c r="O450" s="26" t="n"/>
      <c r="P450" s="22" t="n"/>
      <c r="Q450" s="24" t="n"/>
      <c r="R450" s="24" t="n"/>
      <c r="S450" s="27" t="n"/>
      <c r="T450" s="28">
        <f>IF(Q450="","",IF(Q450="SUCCESS",1,0))</f>
        <v/>
      </c>
      <c r="U450" s="29">
        <f>IF(OR(N450="",Q450&lt;&gt;"SUCCESS"),"",N450-SUM(I450:M450))</f>
        <v/>
      </c>
      <c r="V450" s="30">
        <f>IF(OR(N450="",N450=0,L450=""),"",L450/N450)</f>
        <v/>
      </c>
      <c r="W450" s="29">
        <f>IF(OR(N450="",G450="",G450=0),"",N450/(G450/60))</f>
        <v/>
      </c>
    </row>
    <row r="451">
      <c r="A451" s="22" t="n"/>
      <c r="B451" s="23" t="n"/>
      <c r="C451" s="24" t="n"/>
      <c r="D451" s="24" t="n"/>
      <c r="E451" s="24" t="n"/>
      <c r="F451" s="22" t="n"/>
      <c r="G451" s="25" t="n"/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2" t="n"/>
      <c r="Q451" s="24" t="n"/>
      <c r="R451" s="24" t="n"/>
      <c r="S451" s="27" t="n"/>
      <c r="T451" s="28">
        <f>IF(Q451="","",IF(Q451="SUCCESS",1,0))</f>
        <v/>
      </c>
      <c r="U451" s="29">
        <f>IF(OR(N451="",Q451&lt;&gt;"SUCCESS"),"",N451-SUM(I451:M451))</f>
        <v/>
      </c>
      <c r="V451" s="30">
        <f>IF(OR(N451="",N451=0,L451=""),"",L451/N451)</f>
        <v/>
      </c>
      <c r="W451" s="29">
        <f>IF(OR(N451="",G451="",G451=0),"",N451/(G451/60))</f>
        <v/>
      </c>
    </row>
    <row r="452">
      <c r="A452" s="22" t="n"/>
      <c r="B452" s="23" t="n"/>
      <c r="C452" s="24" t="n"/>
      <c r="D452" s="24" t="n"/>
      <c r="E452" s="24" t="n"/>
      <c r="F452" s="22" t="n"/>
      <c r="G452" s="25" t="n"/>
      <c r="H452" s="26" t="n"/>
      <c r="I452" s="26" t="n"/>
      <c r="J452" s="26" t="n"/>
      <c r="K452" s="26" t="n"/>
      <c r="L452" s="26" t="n"/>
      <c r="M452" s="26" t="n"/>
      <c r="N452" s="26" t="n"/>
      <c r="O452" s="26" t="n"/>
      <c r="P452" s="22" t="n"/>
      <c r="Q452" s="24" t="n"/>
      <c r="R452" s="24" t="n"/>
      <c r="S452" s="27" t="n"/>
      <c r="T452" s="28">
        <f>IF(Q452="","",IF(Q452="SUCCESS",1,0))</f>
        <v/>
      </c>
      <c r="U452" s="29">
        <f>IF(OR(N452="",Q452&lt;&gt;"SUCCESS"),"",N452-SUM(I452:M452))</f>
        <v/>
      </c>
      <c r="V452" s="30">
        <f>IF(OR(N452="",N452=0,L452=""),"",L452/N452)</f>
        <v/>
      </c>
      <c r="W452" s="29">
        <f>IF(OR(N452="",G452="",G452=0),"",N452/(G452/60))</f>
        <v/>
      </c>
    </row>
    <row r="453">
      <c r="A453" s="22" t="n"/>
      <c r="B453" s="23" t="n"/>
      <c r="C453" s="24" t="n"/>
      <c r="D453" s="24" t="n"/>
      <c r="E453" s="24" t="n"/>
      <c r="F453" s="22" t="n"/>
      <c r="G453" s="25" t="n"/>
      <c r="H453" s="26" t="n"/>
      <c r="I453" s="26" t="n"/>
      <c r="J453" s="26" t="n"/>
      <c r="K453" s="26" t="n"/>
      <c r="L453" s="26" t="n"/>
      <c r="M453" s="26" t="n"/>
      <c r="N453" s="26" t="n"/>
      <c r="O453" s="26" t="n"/>
      <c r="P453" s="22" t="n"/>
      <c r="Q453" s="24" t="n"/>
      <c r="R453" s="24" t="n"/>
      <c r="S453" s="27" t="n"/>
      <c r="T453" s="28">
        <f>IF(Q453="","",IF(Q453="SUCCESS",1,0))</f>
        <v/>
      </c>
      <c r="U453" s="29">
        <f>IF(OR(N453="",Q453&lt;&gt;"SUCCESS"),"",N453-SUM(I453:M453))</f>
        <v/>
      </c>
      <c r="V453" s="30">
        <f>IF(OR(N453="",N453=0,L453=""),"",L453/N453)</f>
        <v/>
      </c>
      <c r="W453" s="29">
        <f>IF(OR(N453="",G453="",G453=0),"",N453/(G453/60))</f>
        <v/>
      </c>
    </row>
    <row r="454">
      <c r="A454" s="22" t="n"/>
      <c r="B454" s="23" t="n"/>
      <c r="C454" s="24" t="n"/>
      <c r="D454" s="24" t="n"/>
      <c r="E454" s="24" t="n"/>
      <c r="F454" s="22" t="n"/>
      <c r="G454" s="25" t="n"/>
      <c r="H454" s="26" t="n"/>
      <c r="I454" s="26" t="n"/>
      <c r="J454" s="26" t="n"/>
      <c r="K454" s="26" t="n"/>
      <c r="L454" s="26" t="n"/>
      <c r="M454" s="26" t="n"/>
      <c r="N454" s="26" t="n"/>
      <c r="O454" s="26" t="n"/>
      <c r="P454" s="22" t="n"/>
      <c r="Q454" s="24" t="n"/>
      <c r="R454" s="24" t="n"/>
      <c r="S454" s="27" t="n"/>
      <c r="T454" s="28">
        <f>IF(Q454="","",IF(Q454="SUCCESS",1,0))</f>
        <v/>
      </c>
      <c r="U454" s="29">
        <f>IF(OR(N454="",Q454&lt;&gt;"SUCCESS"),"",N454-SUM(I454:M454))</f>
        <v/>
      </c>
      <c r="V454" s="30">
        <f>IF(OR(N454="",N454=0,L454=""),"",L454/N454)</f>
        <v/>
      </c>
      <c r="W454" s="29">
        <f>IF(OR(N454="",G454="",G454=0),"",N454/(G454/60))</f>
        <v/>
      </c>
    </row>
    <row r="455">
      <c r="A455" s="22" t="n"/>
      <c r="B455" s="23" t="n"/>
      <c r="C455" s="24" t="n"/>
      <c r="D455" s="24" t="n"/>
      <c r="E455" s="24" t="n"/>
      <c r="F455" s="22" t="n"/>
      <c r="G455" s="25" t="n"/>
      <c r="H455" s="26" t="n"/>
      <c r="I455" s="26" t="n"/>
      <c r="J455" s="26" t="n"/>
      <c r="K455" s="26" t="n"/>
      <c r="L455" s="26" t="n"/>
      <c r="M455" s="26" t="n"/>
      <c r="N455" s="26" t="n"/>
      <c r="O455" s="26" t="n"/>
      <c r="P455" s="22" t="n"/>
      <c r="Q455" s="24" t="n"/>
      <c r="R455" s="24" t="n"/>
      <c r="S455" s="27" t="n"/>
      <c r="T455" s="28">
        <f>IF(Q455="","",IF(Q455="SUCCESS",1,0))</f>
        <v/>
      </c>
      <c r="U455" s="29">
        <f>IF(OR(N455="",Q455&lt;&gt;"SUCCESS"),"",N455-SUM(I455:M455))</f>
        <v/>
      </c>
      <c r="V455" s="30">
        <f>IF(OR(N455="",N455=0,L455=""),"",L455/N455)</f>
        <v/>
      </c>
      <c r="W455" s="29">
        <f>IF(OR(N455="",G455="",G455=0),"",N455/(G455/60))</f>
        <v/>
      </c>
    </row>
    <row r="456">
      <c r="A456" s="22" t="n"/>
      <c r="B456" s="23" t="n"/>
      <c r="C456" s="24" t="n"/>
      <c r="D456" s="24" t="n"/>
      <c r="E456" s="24" t="n"/>
      <c r="F456" s="22" t="n"/>
      <c r="G456" s="25" t="n"/>
      <c r="H456" s="26" t="n"/>
      <c r="I456" s="26" t="n"/>
      <c r="J456" s="26" t="n"/>
      <c r="K456" s="26" t="n"/>
      <c r="L456" s="26" t="n"/>
      <c r="M456" s="26" t="n"/>
      <c r="N456" s="26" t="n"/>
      <c r="O456" s="26" t="n"/>
      <c r="P456" s="22" t="n"/>
      <c r="Q456" s="24" t="n"/>
      <c r="R456" s="24" t="n"/>
      <c r="S456" s="27" t="n"/>
      <c r="T456" s="28">
        <f>IF(Q456="","",IF(Q456="SUCCESS",1,0))</f>
        <v/>
      </c>
      <c r="U456" s="29">
        <f>IF(OR(N456="",Q456&lt;&gt;"SUCCESS"),"",N456-SUM(I456:M456))</f>
        <v/>
      </c>
      <c r="V456" s="30">
        <f>IF(OR(N456="",N456=0,L456=""),"",L456/N456)</f>
        <v/>
      </c>
      <c r="W456" s="29">
        <f>IF(OR(N456="",G456="",G456=0),"",N456/(G456/60))</f>
        <v/>
      </c>
    </row>
    <row r="457">
      <c r="A457" s="22" t="n"/>
      <c r="B457" s="23" t="n"/>
      <c r="C457" s="24" t="n"/>
      <c r="D457" s="24" t="n"/>
      <c r="E457" s="24" t="n"/>
      <c r="F457" s="22" t="n"/>
      <c r="G457" s="25" t="n"/>
      <c r="H457" s="26" t="n"/>
      <c r="I457" s="26" t="n"/>
      <c r="J457" s="26" t="n"/>
      <c r="K457" s="26" t="n"/>
      <c r="L457" s="26" t="n"/>
      <c r="M457" s="26" t="n"/>
      <c r="N457" s="26" t="n"/>
      <c r="O457" s="26" t="n"/>
      <c r="P457" s="22" t="n"/>
      <c r="Q457" s="24" t="n"/>
      <c r="R457" s="24" t="n"/>
      <c r="S457" s="27" t="n"/>
      <c r="T457" s="28">
        <f>IF(Q457="","",IF(Q457="SUCCESS",1,0))</f>
        <v/>
      </c>
      <c r="U457" s="29">
        <f>IF(OR(N457="",Q457&lt;&gt;"SUCCESS"),"",N457-SUM(I457:M457))</f>
        <v/>
      </c>
      <c r="V457" s="30">
        <f>IF(OR(N457="",N457=0,L457=""),"",L457/N457)</f>
        <v/>
      </c>
      <c r="W457" s="29">
        <f>IF(OR(N457="",G457="",G457=0),"",N457/(G457/60))</f>
        <v/>
      </c>
    </row>
    <row r="458">
      <c r="A458" s="22" t="n"/>
      <c r="B458" s="23" t="n"/>
      <c r="C458" s="24" t="n"/>
      <c r="D458" s="24" t="n"/>
      <c r="E458" s="24" t="n"/>
      <c r="F458" s="22" t="n"/>
      <c r="G458" s="25" t="n"/>
      <c r="H458" s="26" t="n"/>
      <c r="I458" s="26" t="n"/>
      <c r="J458" s="26" t="n"/>
      <c r="K458" s="26" t="n"/>
      <c r="L458" s="26" t="n"/>
      <c r="M458" s="26" t="n"/>
      <c r="N458" s="26" t="n"/>
      <c r="O458" s="26" t="n"/>
      <c r="P458" s="22" t="n"/>
      <c r="Q458" s="24" t="n"/>
      <c r="R458" s="24" t="n"/>
      <c r="S458" s="27" t="n"/>
      <c r="T458" s="28">
        <f>IF(Q458="","",IF(Q458="SUCCESS",1,0))</f>
        <v/>
      </c>
      <c r="U458" s="29">
        <f>IF(OR(N458="",Q458&lt;&gt;"SUCCESS"),"",N458-SUM(I458:M458))</f>
        <v/>
      </c>
      <c r="V458" s="30">
        <f>IF(OR(N458="",N458=0,L458=""),"",L458/N458)</f>
        <v/>
      </c>
      <c r="W458" s="29">
        <f>IF(OR(N458="",G458="",G458=0),"",N458/(G458/60))</f>
        <v/>
      </c>
    </row>
    <row r="459">
      <c r="A459" s="22" t="n"/>
      <c r="B459" s="23" t="n"/>
      <c r="C459" s="24" t="n"/>
      <c r="D459" s="24" t="n"/>
      <c r="E459" s="24" t="n"/>
      <c r="F459" s="22" t="n"/>
      <c r="G459" s="25" t="n"/>
      <c r="H459" s="26" t="n"/>
      <c r="I459" s="26" t="n"/>
      <c r="J459" s="26" t="n"/>
      <c r="K459" s="26" t="n"/>
      <c r="L459" s="26" t="n"/>
      <c r="M459" s="26" t="n"/>
      <c r="N459" s="26" t="n"/>
      <c r="O459" s="26" t="n"/>
      <c r="P459" s="22" t="n"/>
      <c r="Q459" s="24" t="n"/>
      <c r="R459" s="24" t="n"/>
      <c r="S459" s="27" t="n"/>
      <c r="T459" s="28">
        <f>IF(Q459="","",IF(Q459="SUCCESS",1,0))</f>
        <v/>
      </c>
      <c r="U459" s="29">
        <f>IF(OR(N459="",Q459&lt;&gt;"SUCCESS"),"",N459-SUM(I459:M459))</f>
        <v/>
      </c>
      <c r="V459" s="30">
        <f>IF(OR(N459="",N459=0,L459=""),"",L459/N459)</f>
        <v/>
      </c>
      <c r="W459" s="29">
        <f>IF(OR(N459="",G459="",G459=0),"",N459/(G459/60))</f>
        <v/>
      </c>
    </row>
    <row r="460">
      <c r="A460" s="22" t="n"/>
      <c r="B460" s="23" t="n"/>
      <c r="C460" s="24" t="n"/>
      <c r="D460" s="24" t="n"/>
      <c r="E460" s="24" t="n"/>
      <c r="F460" s="22" t="n"/>
      <c r="G460" s="25" t="n"/>
      <c r="H460" s="26" t="n"/>
      <c r="I460" s="26" t="n"/>
      <c r="J460" s="26" t="n"/>
      <c r="K460" s="26" t="n"/>
      <c r="L460" s="26" t="n"/>
      <c r="M460" s="26" t="n"/>
      <c r="N460" s="26" t="n"/>
      <c r="O460" s="26" t="n"/>
      <c r="P460" s="22" t="n"/>
      <c r="Q460" s="24" t="n"/>
      <c r="R460" s="24" t="n"/>
      <c r="S460" s="27" t="n"/>
      <c r="T460" s="28">
        <f>IF(Q460="","",IF(Q460="SUCCESS",1,0))</f>
        <v/>
      </c>
      <c r="U460" s="29">
        <f>IF(OR(N460="",Q460&lt;&gt;"SUCCESS"),"",N460-SUM(I460:M460))</f>
        <v/>
      </c>
      <c r="V460" s="30">
        <f>IF(OR(N460="",N460=0,L460=""),"",L460/N460)</f>
        <v/>
      </c>
      <c r="W460" s="29">
        <f>IF(OR(N460="",G460="",G460=0),"",N460/(G460/60))</f>
        <v/>
      </c>
    </row>
    <row r="461">
      <c r="A461" s="22" t="n"/>
      <c r="B461" s="23" t="n"/>
      <c r="C461" s="24" t="n"/>
      <c r="D461" s="24" t="n"/>
      <c r="E461" s="24" t="n"/>
      <c r="F461" s="22" t="n"/>
      <c r="G461" s="25" t="n"/>
      <c r="H461" s="26" t="n"/>
      <c r="I461" s="26" t="n"/>
      <c r="J461" s="26" t="n"/>
      <c r="K461" s="26" t="n"/>
      <c r="L461" s="26" t="n"/>
      <c r="M461" s="26" t="n"/>
      <c r="N461" s="26" t="n"/>
      <c r="O461" s="26" t="n"/>
      <c r="P461" s="22" t="n"/>
      <c r="Q461" s="24" t="n"/>
      <c r="R461" s="24" t="n"/>
      <c r="S461" s="27" t="n"/>
      <c r="T461" s="28">
        <f>IF(Q461="","",IF(Q461="SUCCESS",1,0))</f>
        <v/>
      </c>
      <c r="U461" s="29">
        <f>IF(OR(N461="",Q461&lt;&gt;"SUCCESS"),"",N461-SUM(I461:M461))</f>
        <v/>
      </c>
      <c r="V461" s="30">
        <f>IF(OR(N461="",N461=0,L461=""),"",L461/N461)</f>
        <v/>
      </c>
      <c r="W461" s="29">
        <f>IF(OR(N461="",G461="",G461=0),"",N461/(G461/60))</f>
        <v/>
      </c>
    </row>
    <row r="462">
      <c r="A462" s="22" t="n"/>
      <c r="B462" s="23" t="n"/>
      <c r="C462" s="24" t="n"/>
      <c r="D462" s="24" t="n"/>
      <c r="E462" s="24" t="n"/>
      <c r="F462" s="22" t="n"/>
      <c r="G462" s="25" t="n"/>
      <c r="H462" s="26" t="n"/>
      <c r="I462" s="26" t="n"/>
      <c r="J462" s="26" t="n"/>
      <c r="K462" s="26" t="n"/>
      <c r="L462" s="26" t="n"/>
      <c r="M462" s="26" t="n"/>
      <c r="N462" s="26" t="n"/>
      <c r="O462" s="26" t="n"/>
      <c r="P462" s="22" t="n"/>
      <c r="Q462" s="24" t="n"/>
      <c r="R462" s="24" t="n"/>
      <c r="S462" s="27" t="n"/>
      <c r="T462" s="28">
        <f>IF(Q462="","",IF(Q462="SUCCESS",1,0))</f>
        <v/>
      </c>
      <c r="U462" s="29">
        <f>IF(OR(N462="",Q462&lt;&gt;"SUCCESS"),"",N462-SUM(I462:M462))</f>
        <v/>
      </c>
      <c r="V462" s="30">
        <f>IF(OR(N462="",N462=0,L462=""),"",L462/N462)</f>
        <v/>
      </c>
      <c r="W462" s="29">
        <f>IF(OR(N462="",G462="",G462=0),"",N462/(G462/60))</f>
        <v/>
      </c>
    </row>
    <row r="463">
      <c r="A463" s="22" t="n"/>
      <c r="B463" s="23" t="n"/>
      <c r="C463" s="24" t="n"/>
      <c r="D463" s="24" t="n"/>
      <c r="E463" s="24" t="n"/>
      <c r="F463" s="22" t="n"/>
      <c r="G463" s="25" t="n"/>
      <c r="H463" s="26" t="n"/>
      <c r="I463" s="26" t="n"/>
      <c r="J463" s="26" t="n"/>
      <c r="K463" s="26" t="n"/>
      <c r="L463" s="26" t="n"/>
      <c r="M463" s="26" t="n"/>
      <c r="N463" s="26" t="n"/>
      <c r="O463" s="26" t="n"/>
      <c r="P463" s="22" t="n"/>
      <c r="Q463" s="24" t="n"/>
      <c r="R463" s="24" t="n"/>
      <c r="S463" s="27" t="n"/>
      <c r="T463" s="28">
        <f>IF(Q463="","",IF(Q463="SUCCESS",1,0))</f>
        <v/>
      </c>
      <c r="U463" s="29">
        <f>IF(OR(N463="",Q463&lt;&gt;"SUCCESS"),"",N463-SUM(I463:M463))</f>
        <v/>
      </c>
      <c r="V463" s="30">
        <f>IF(OR(N463="",N463=0,L463=""),"",L463/N463)</f>
        <v/>
      </c>
      <c r="W463" s="29">
        <f>IF(OR(N463="",G463="",G463=0),"",N463/(G463/60))</f>
        <v/>
      </c>
    </row>
    <row r="464">
      <c r="A464" s="22" t="n"/>
      <c r="B464" s="23" t="n"/>
      <c r="C464" s="24" t="n"/>
      <c r="D464" s="24" t="n"/>
      <c r="E464" s="24" t="n"/>
      <c r="F464" s="22" t="n"/>
      <c r="G464" s="25" t="n"/>
      <c r="H464" s="26" t="n"/>
      <c r="I464" s="26" t="n"/>
      <c r="J464" s="26" t="n"/>
      <c r="K464" s="26" t="n"/>
      <c r="L464" s="26" t="n"/>
      <c r="M464" s="26" t="n"/>
      <c r="N464" s="26" t="n"/>
      <c r="O464" s="26" t="n"/>
      <c r="P464" s="22" t="n"/>
      <c r="Q464" s="24" t="n"/>
      <c r="R464" s="24" t="n"/>
      <c r="S464" s="27" t="n"/>
      <c r="T464" s="28">
        <f>IF(Q464="","",IF(Q464="SUCCESS",1,0))</f>
        <v/>
      </c>
      <c r="U464" s="29">
        <f>IF(OR(N464="",Q464&lt;&gt;"SUCCESS"),"",N464-SUM(I464:M464))</f>
        <v/>
      </c>
      <c r="V464" s="30">
        <f>IF(OR(N464="",N464=0,L464=""),"",L464/N464)</f>
        <v/>
      </c>
      <c r="W464" s="29">
        <f>IF(OR(N464="",G464="",G464=0),"",N464/(G464/60))</f>
        <v/>
      </c>
    </row>
    <row r="465">
      <c r="A465" s="22" t="n"/>
      <c r="B465" s="23" t="n"/>
      <c r="C465" s="24" t="n"/>
      <c r="D465" s="24" t="n"/>
      <c r="E465" s="24" t="n"/>
      <c r="F465" s="22" t="n"/>
      <c r="G465" s="25" t="n"/>
      <c r="H465" s="26" t="n"/>
      <c r="I465" s="26" t="n"/>
      <c r="J465" s="26" t="n"/>
      <c r="K465" s="26" t="n"/>
      <c r="L465" s="26" t="n"/>
      <c r="M465" s="26" t="n"/>
      <c r="N465" s="26" t="n"/>
      <c r="O465" s="26" t="n"/>
      <c r="P465" s="22" t="n"/>
      <c r="Q465" s="24" t="n"/>
      <c r="R465" s="24" t="n"/>
      <c r="S465" s="27" t="n"/>
      <c r="T465" s="28">
        <f>IF(Q465="","",IF(Q465="SUCCESS",1,0))</f>
        <v/>
      </c>
      <c r="U465" s="29">
        <f>IF(OR(N465="",Q465&lt;&gt;"SUCCESS"),"",N465-SUM(I465:M465))</f>
        <v/>
      </c>
      <c r="V465" s="30">
        <f>IF(OR(N465="",N465=0,L465=""),"",L465/N465)</f>
        <v/>
      </c>
      <c r="W465" s="29">
        <f>IF(OR(N465="",G465="",G465=0),"",N465/(G465/60))</f>
        <v/>
      </c>
    </row>
    <row r="466">
      <c r="A466" s="22" t="n"/>
      <c r="B466" s="23" t="n"/>
      <c r="C466" s="24" t="n"/>
      <c r="D466" s="24" t="n"/>
      <c r="E466" s="24" t="n"/>
      <c r="F466" s="22" t="n"/>
      <c r="G466" s="25" t="n"/>
      <c r="H466" s="26" t="n"/>
      <c r="I466" s="26" t="n"/>
      <c r="J466" s="26" t="n"/>
      <c r="K466" s="26" t="n"/>
      <c r="L466" s="26" t="n"/>
      <c r="M466" s="26" t="n"/>
      <c r="N466" s="26" t="n"/>
      <c r="O466" s="26" t="n"/>
      <c r="P466" s="22" t="n"/>
      <c r="Q466" s="24" t="n"/>
      <c r="R466" s="24" t="n"/>
      <c r="S466" s="27" t="n"/>
      <c r="T466" s="28">
        <f>IF(Q466="","",IF(Q466="SUCCESS",1,0))</f>
        <v/>
      </c>
      <c r="U466" s="29">
        <f>IF(OR(N466="",Q466&lt;&gt;"SUCCESS"),"",N466-SUM(I466:M466))</f>
        <v/>
      </c>
      <c r="V466" s="30">
        <f>IF(OR(N466="",N466=0,L466=""),"",L466/N466)</f>
        <v/>
      </c>
      <c r="W466" s="29">
        <f>IF(OR(N466="",G466="",G466=0),"",N466/(G466/60))</f>
        <v/>
      </c>
    </row>
    <row r="467">
      <c r="A467" s="22" t="n"/>
      <c r="B467" s="23" t="n"/>
      <c r="C467" s="24" t="n"/>
      <c r="D467" s="24" t="n"/>
      <c r="E467" s="24" t="n"/>
      <c r="F467" s="22" t="n"/>
      <c r="G467" s="25" t="n"/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2" t="n"/>
      <c r="Q467" s="24" t="n"/>
      <c r="R467" s="24" t="n"/>
      <c r="S467" s="27" t="n"/>
      <c r="T467" s="28">
        <f>IF(Q467="","",IF(Q467="SUCCESS",1,0))</f>
        <v/>
      </c>
      <c r="U467" s="29">
        <f>IF(OR(N467="",Q467&lt;&gt;"SUCCESS"),"",N467-SUM(I467:M467))</f>
        <v/>
      </c>
      <c r="V467" s="30">
        <f>IF(OR(N467="",N467=0,L467=""),"",L467/N467)</f>
        <v/>
      </c>
      <c r="W467" s="29">
        <f>IF(OR(N467="",G467="",G467=0),"",N467/(G467/60))</f>
        <v/>
      </c>
    </row>
    <row r="468">
      <c r="A468" s="22" t="n"/>
      <c r="B468" s="23" t="n"/>
      <c r="C468" s="24" t="n"/>
      <c r="D468" s="24" t="n"/>
      <c r="E468" s="24" t="n"/>
      <c r="F468" s="22" t="n"/>
      <c r="G468" s="25" t="n"/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2" t="n"/>
      <c r="Q468" s="24" t="n"/>
      <c r="R468" s="24" t="n"/>
      <c r="S468" s="27" t="n"/>
      <c r="T468" s="28">
        <f>IF(Q468="","",IF(Q468="SUCCESS",1,0))</f>
        <v/>
      </c>
      <c r="U468" s="29">
        <f>IF(OR(N468="",Q468&lt;&gt;"SUCCESS"),"",N468-SUM(I468:M468))</f>
        <v/>
      </c>
      <c r="V468" s="30">
        <f>IF(OR(N468="",N468=0,L468=""),"",L468/N468)</f>
        <v/>
      </c>
      <c r="W468" s="29">
        <f>IF(OR(N468="",G468="",G468=0),"",N468/(G468/60))</f>
        <v/>
      </c>
    </row>
    <row r="469">
      <c r="A469" s="22" t="n"/>
      <c r="B469" s="23" t="n"/>
      <c r="C469" s="24" t="n"/>
      <c r="D469" s="24" t="n"/>
      <c r="E469" s="24" t="n"/>
      <c r="F469" s="22" t="n"/>
      <c r="G469" s="25" t="n"/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2" t="n"/>
      <c r="Q469" s="24" t="n"/>
      <c r="R469" s="24" t="n"/>
      <c r="S469" s="27" t="n"/>
      <c r="T469" s="28">
        <f>IF(Q469="","",IF(Q469="SUCCESS",1,0))</f>
        <v/>
      </c>
      <c r="U469" s="29">
        <f>IF(OR(N469="",Q469&lt;&gt;"SUCCESS"),"",N469-SUM(I469:M469))</f>
        <v/>
      </c>
      <c r="V469" s="30">
        <f>IF(OR(N469="",N469=0,L469=""),"",L469/N469)</f>
        <v/>
      </c>
      <c r="W469" s="29">
        <f>IF(OR(N469="",G469="",G469=0),"",N469/(G469/60))</f>
        <v/>
      </c>
    </row>
    <row r="470">
      <c r="A470" s="22" t="n"/>
      <c r="B470" s="23" t="n"/>
      <c r="C470" s="24" t="n"/>
      <c r="D470" s="24" t="n"/>
      <c r="E470" s="24" t="n"/>
      <c r="F470" s="22" t="n"/>
      <c r="G470" s="25" t="n"/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2" t="n"/>
      <c r="Q470" s="24" t="n"/>
      <c r="R470" s="24" t="n"/>
      <c r="S470" s="27" t="n"/>
      <c r="T470" s="28">
        <f>IF(Q470="","",IF(Q470="SUCCESS",1,0))</f>
        <v/>
      </c>
      <c r="U470" s="29">
        <f>IF(OR(N470="",Q470&lt;&gt;"SUCCESS"),"",N470-SUM(I470:M470))</f>
        <v/>
      </c>
      <c r="V470" s="30">
        <f>IF(OR(N470="",N470=0,L470=""),"",L470/N470)</f>
        <v/>
      </c>
      <c r="W470" s="29">
        <f>IF(OR(N470="",G470="",G470=0),"",N470/(G470/60))</f>
        <v/>
      </c>
    </row>
    <row r="471">
      <c r="A471" s="22" t="n"/>
      <c r="B471" s="23" t="n"/>
      <c r="C471" s="24" t="n"/>
      <c r="D471" s="24" t="n"/>
      <c r="E471" s="24" t="n"/>
      <c r="F471" s="22" t="n"/>
      <c r="G471" s="25" t="n"/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2" t="n"/>
      <c r="Q471" s="24" t="n"/>
      <c r="R471" s="24" t="n"/>
      <c r="S471" s="27" t="n"/>
      <c r="T471" s="28">
        <f>IF(Q471="","",IF(Q471="SUCCESS",1,0))</f>
        <v/>
      </c>
      <c r="U471" s="29">
        <f>IF(OR(N471="",Q471&lt;&gt;"SUCCESS"),"",N471-SUM(I471:M471))</f>
        <v/>
      </c>
      <c r="V471" s="30">
        <f>IF(OR(N471="",N471=0,L471=""),"",L471/N471)</f>
        <v/>
      </c>
      <c r="W471" s="29">
        <f>IF(OR(N471="",G471="",G471=0),"",N471/(G471/60))</f>
        <v/>
      </c>
    </row>
    <row r="472">
      <c r="A472" s="22" t="n"/>
      <c r="B472" s="23" t="n"/>
      <c r="C472" s="24" t="n"/>
      <c r="D472" s="24" t="n"/>
      <c r="E472" s="24" t="n"/>
      <c r="F472" s="22" t="n"/>
      <c r="G472" s="25" t="n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2" t="n"/>
      <c r="Q472" s="24" t="n"/>
      <c r="R472" s="24" t="n"/>
      <c r="S472" s="27" t="n"/>
      <c r="T472" s="28">
        <f>IF(Q472="","",IF(Q472="SUCCESS",1,0))</f>
        <v/>
      </c>
      <c r="U472" s="29">
        <f>IF(OR(N472="",Q472&lt;&gt;"SUCCESS"),"",N472-SUM(I472:M472))</f>
        <v/>
      </c>
      <c r="V472" s="30">
        <f>IF(OR(N472="",N472=0,L472=""),"",L472/N472)</f>
        <v/>
      </c>
      <c r="W472" s="29">
        <f>IF(OR(N472="",G472="",G472=0),"",N472/(G472/60))</f>
        <v/>
      </c>
    </row>
    <row r="473">
      <c r="A473" s="22" t="n"/>
      <c r="B473" s="23" t="n"/>
      <c r="C473" s="24" t="n"/>
      <c r="D473" s="24" t="n"/>
      <c r="E473" s="24" t="n"/>
      <c r="F473" s="22" t="n"/>
      <c r="G473" s="25" t="n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2" t="n"/>
      <c r="Q473" s="24" t="n"/>
      <c r="R473" s="24" t="n"/>
      <c r="S473" s="27" t="n"/>
      <c r="T473" s="28">
        <f>IF(Q473="","",IF(Q473="SUCCESS",1,0))</f>
        <v/>
      </c>
      <c r="U473" s="29">
        <f>IF(OR(N473="",Q473&lt;&gt;"SUCCESS"),"",N473-SUM(I473:M473))</f>
        <v/>
      </c>
      <c r="V473" s="30">
        <f>IF(OR(N473="",N473=0,L473=""),"",L473/N473)</f>
        <v/>
      </c>
      <c r="W473" s="29">
        <f>IF(OR(N473="",G473="",G473=0),"",N473/(G473/60))</f>
        <v/>
      </c>
    </row>
    <row r="474">
      <c r="A474" s="22" t="n"/>
      <c r="B474" s="23" t="n"/>
      <c r="C474" s="24" t="n"/>
      <c r="D474" s="24" t="n"/>
      <c r="E474" s="24" t="n"/>
      <c r="F474" s="22" t="n"/>
      <c r="G474" s="25" t="n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2" t="n"/>
      <c r="Q474" s="24" t="n"/>
      <c r="R474" s="24" t="n"/>
      <c r="S474" s="27" t="n"/>
      <c r="T474" s="28">
        <f>IF(Q474="","",IF(Q474="SUCCESS",1,0))</f>
        <v/>
      </c>
      <c r="U474" s="29">
        <f>IF(OR(N474="",Q474&lt;&gt;"SUCCESS"),"",N474-SUM(I474:M474))</f>
        <v/>
      </c>
      <c r="V474" s="30">
        <f>IF(OR(N474="",N474=0,L474=""),"",L474/N474)</f>
        <v/>
      </c>
      <c r="W474" s="29">
        <f>IF(OR(N474="",G474="",G474=0),"",N474/(G474/60))</f>
        <v/>
      </c>
    </row>
    <row r="475">
      <c r="A475" s="22" t="n"/>
      <c r="B475" s="23" t="n"/>
      <c r="C475" s="24" t="n"/>
      <c r="D475" s="24" t="n"/>
      <c r="E475" s="24" t="n"/>
      <c r="F475" s="22" t="n"/>
      <c r="G475" s="25" t="n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2" t="n"/>
      <c r="Q475" s="24" t="n"/>
      <c r="R475" s="24" t="n"/>
      <c r="S475" s="27" t="n"/>
      <c r="T475" s="28">
        <f>IF(Q475="","",IF(Q475="SUCCESS",1,0))</f>
        <v/>
      </c>
      <c r="U475" s="29">
        <f>IF(OR(N475="",Q475&lt;&gt;"SUCCESS"),"",N475-SUM(I475:M475))</f>
        <v/>
      </c>
      <c r="V475" s="30">
        <f>IF(OR(N475="",N475=0,L475=""),"",L475/N475)</f>
        <v/>
      </c>
      <c r="W475" s="29">
        <f>IF(OR(N475="",G475="",G475=0),"",N475/(G475/60))</f>
        <v/>
      </c>
    </row>
    <row r="476">
      <c r="A476" s="22" t="n"/>
      <c r="B476" s="23" t="n"/>
      <c r="C476" s="24" t="n"/>
      <c r="D476" s="24" t="n"/>
      <c r="E476" s="24" t="n"/>
      <c r="F476" s="22" t="n"/>
      <c r="G476" s="25" t="n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2" t="n"/>
      <c r="Q476" s="24" t="n"/>
      <c r="R476" s="24" t="n"/>
      <c r="S476" s="27" t="n"/>
      <c r="T476" s="28">
        <f>IF(Q476="","",IF(Q476="SUCCESS",1,0))</f>
        <v/>
      </c>
      <c r="U476" s="29">
        <f>IF(OR(N476="",Q476&lt;&gt;"SUCCESS"),"",N476-SUM(I476:M476))</f>
        <v/>
      </c>
      <c r="V476" s="30">
        <f>IF(OR(N476="",N476=0,L476=""),"",L476/N476)</f>
        <v/>
      </c>
      <c r="W476" s="29">
        <f>IF(OR(N476="",G476="",G476=0),"",N476/(G476/60))</f>
        <v/>
      </c>
    </row>
    <row r="477">
      <c r="A477" s="22" t="n"/>
      <c r="B477" s="23" t="n"/>
      <c r="C477" s="24" t="n"/>
      <c r="D477" s="24" t="n"/>
      <c r="E477" s="24" t="n"/>
      <c r="F477" s="22" t="n"/>
      <c r="G477" s="25" t="n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2" t="n"/>
      <c r="Q477" s="24" t="n"/>
      <c r="R477" s="24" t="n"/>
      <c r="S477" s="27" t="n"/>
      <c r="T477" s="28">
        <f>IF(Q477="","",IF(Q477="SUCCESS",1,0))</f>
        <v/>
      </c>
      <c r="U477" s="29">
        <f>IF(OR(N477="",Q477&lt;&gt;"SUCCESS"),"",N477-SUM(I477:M477))</f>
        <v/>
      </c>
      <c r="V477" s="30">
        <f>IF(OR(N477="",N477=0,L477=""),"",L477/N477)</f>
        <v/>
      </c>
      <c r="W477" s="29">
        <f>IF(OR(N477="",G477="",G477=0),"",N477/(G477/60))</f>
        <v/>
      </c>
    </row>
    <row r="478">
      <c r="A478" s="22" t="n"/>
      <c r="B478" s="23" t="n"/>
      <c r="C478" s="24" t="n"/>
      <c r="D478" s="24" t="n"/>
      <c r="E478" s="24" t="n"/>
      <c r="F478" s="22" t="n"/>
      <c r="G478" s="25" t="n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2" t="n"/>
      <c r="Q478" s="24" t="n"/>
      <c r="R478" s="24" t="n"/>
      <c r="S478" s="27" t="n"/>
      <c r="T478" s="28">
        <f>IF(Q478="","",IF(Q478="SUCCESS",1,0))</f>
        <v/>
      </c>
      <c r="U478" s="29">
        <f>IF(OR(N478="",Q478&lt;&gt;"SUCCESS"),"",N478-SUM(I478:M478))</f>
        <v/>
      </c>
      <c r="V478" s="30">
        <f>IF(OR(N478="",N478=0,L478=""),"",L478/N478)</f>
        <v/>
      </c>
      <c r="W478" s="29">
        <f>IF(OR(N478="",G478="",G478=0),"",N478/(G478/60))</f>
        <v/>
      </c>
    </row>
    <row r="479">
      <c r="A479" s="22" t="n"/>
      <c r="B479" s="23" t="n"/>
      <c r="C479" s="24" t="n"/>
      <c r="D479" s="24" t="n"/>
      <c r="E479" s="24" t="n"/>
      <c r="F479" s="22" t="n"/>
      <c r="G479" s="25" t="n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2" t="n"/>
      <c r="Q479" s="24" t="n"/>
      <c r="R479" s="24" t="n"/>
      <c r="S479" s="27" t="n"/>
      <c r="T479" s="28">
        <f>IF(Q479="","",IF(Q479="SUCCESS",1,0))</f>
        <v/>
      </c>
      <c r="U479" s="29">
        <f>IF(OR(N479="",Q479&lt;&gt;"SUCCESS"),"",N479-SUM(I479:M479))</f>
        <v/>
      </c>
      <c r="V479" s="30">
        <f>IF(OR(N479="",N479=0,L479=""),"",L479/N479)</f>
        <v/>
      </c>
      <c r="W479" s="29">
        <f>IF(OR(N479="",G479="",G479=0),"",N479/(G479/60))</f>
        <v/>
      </c>
    </row>
    <row r="480">
      <c r="A480" s="22" t="n"/>
      <c r="B480" s="23" t="n"/>
      <c r="C480" s="24" t="n"/>
      <c r="D480" s="24" t="n"/>
      <c r="E480" s="24" t="n"/>
      <c r="F480" s="22" t="n"/>
      <c r="G480" s="25" t="n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2" t="n"/>
      <c r="Q480" s="24" t="n"/>
      <c r="R480" s="24" t="n"/>
      <c r="S480" s="27" t="n"/>
      <c r="T480" s="28">
        <f>IF(Q480="","",IF(Q480="SUCCESS",1,0))</f>
        <v/>
      </c>
      <c r="U480" s="29">
        <f>IF(OR(N480="",Q480&lt;&gt;"SUCCESS"),"",N480-SUM(I480:M480))</f>
        <v/>
      </c>
      <c r="V480" s="30">
        <f>IF(OR(N480="",N480=0,L480=""),"",L480/N480)</f>
        <v/>
      </c>
      <c r="W480" s="29">
        <f>IF(OR(N480="",G480="",G480=0),"",N480/(G480/60))</f>
        <v/>
      </c>
    </row>
    <row r="481">
      <c r="A481" s="22" t="n"/>
      <c r="B481" s="23" t="n"/>
      <c r="C481" s="24" t="n"/>
      <c r="D481" s="24" t="n"/>
      <c r="E481" s="24" t="n"/>
      <c r="F481" s="22" t="n"/>
      <c r="G481" s="25" t="n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2" t="n"/>
      <c r="Q481" s="24" t="n"/>
      <c r="R481" s="24" t="n"/>
      <c r="S481" s="27" t="n"/>
      <c r="T481" s="28">
        <f>IF(Q481="","",IF(Q481="SUCCESS",1,0))</f>
        <v/>
      </c>
      <c r="U481" s="29">
        <f>IF(OR(N481="",Q481&lt;&gt;"SUCCESS"),"",N481-SUM(I481:M481))</f>
        <v/>
      </c>
      <c r="V481" s="30">
        <f>IF(OR(N481="",N481=0,L481=""),"",L481/N481)</f>
        <v/>
      </c>
      <c r="W481" s="29">
        <f>IF(OR(N481="",G481="",G481=0),"",N481/(G481/60))</f>
        <v/>
      </c>
    </row>
    <row r="482">
      <c r="A482" s="22" t="n"/>
      <c r="B482" s="23" t="n"/>
      <c r="C482" s="24" t="n"/>
      <c r="D482" s="24" t="n"/>
      <c r="E482" s="24" t="n"/>
      <c r="F482" s="22" t="n"/>
      <c r="G482" s="25" t="n"/>
      <c r="H482" s="26" t="n"/>
      <c r="I482" s="26" t="n"/>
      <c r="J482" s="26" t="n"/>
      <c r="K482" s="26" t="n"/>
      <c r="L482" s="26" t="n"/>
      <c r="M482" s="26" t="n"/>
      <c r="N482" s="26" t="n"/>
      <c r="O482" s="26" t="n"/>
      <c r="P482" s="22" t="n"/>
      <c r="Q482" s="24" t="n"/>
      <c r="R482" s="24" t="n"/>
      <c r="S482" s="27" t="n"/>
      <c r="T482" s="28">
        <f>IF(Q482="","",IF(Q482="SUCCESS",1,0))</f>
        <v/>
      </c>
      <c r="U482" s="29">
        <f>IF(OR(N482="",Q482&lt;&gt;"SUCCESS"),"",N482-SUM(I482:M482))</f>
        <v/>
      </c>
      <c r="V482" s="30">
        <f>IF(OR(N482="",N482=0,L482=""),"",L482/N482)</f>
        <v/>
      </c>
      <c r="W482" s="29">
        <f>IF(OR(N482="",G482="",G482=0),"",N482/(G482/60))</f>
        <v/>
      </c>
    </row>
    <row r="483">
      <c r="A483" s="22" t="n"/>
      <c r="B483" s="23" t="n"/>
      <c r="C483" s="24" t="n"/>
      <c r="D483" s="24" t="n"/>
      <c r="E483" s="24" t="n"/>
      <c r="F483" s="22" t="n"/>
      <c r="G483" s="25" t="n"/>
      <c r="H483" s="26" t="n"/>
      <c r="I483" s="26" t="n"/>
      <c r="J483" s="26" t="n"/>
      <c r="K483" s="26" t="n"/>
      <c r="L483" s="26" t="n"/>
      <c r="M483" s="26" t="n"/>
      <c r="N483" s="26" t="n"/>
      <c r="O483" s="26" t="n"/>
      <c r="P483" s="22" t="n"/>
      <c r="Q483" s="24" t="n"/>
      <c r="R483" s="24" t="n"/>
      <c r="S483" s="27" t="n"/>
      <c r="T483" s="28">
        <f>IF(Q483="","",IF(Q483="SUCCESS",1,0))</f>
        <v/>
      </c>
      <c r="U483" s="29">
        <f>IF(OR(N483="",Q483&lt;&gt;"SUCCESS"),"",N483-SUM(I483:M483))</f>
        <v/>
      </c>
      <c r="V483" s="30">
        <f>IF(OR(N483="",N483=0,L483=""),"",L483/N483)</f>
        <v/>
      </c>
      <c r="W483" s="29">
        <f>IF(OR(N483="",G483="",G483=0),"",N483/(G483/60))</f>
        <v/>
      </c>
    </row>
    <row r="484">
      <c r="A484" s="22" t="n"/>
      <c r="B484" s="23" t="n"/>
      <c r="C484" s="24" t="n"/>
      <c r="D484" s="24" t="n"/>
      <c r="E484" s="24" t="n"/>
      <c r="F484" s="22" t="n"/>
      <c r="G484" s="25" t="n"/>
      <c r="H484" s="26" t="n"/>
      <c r="I484" s="26" t="n"/>
      <c r="J484" s="26" t="n"/>
      <c r="K484" s="26" t="n"/>
      <c r="L484" s="26" t="n"/>
      <c r="M484" s="26" t="n"/>
      <c r="N484" s="26" t="n"/>
      <c r="O484" s="26" t="n"/>
      <c r="P484" s="22" t="n"/>
      <c r="Q484" s="24" t="n"/>
      <c r="R484" s="24" t="n"/>
      <c r="S484" s="27" t="n"/>
      <c r="T484" s="28">
        <f>IF(Q484="","",IF(Q484="SUCCESS",1,0))</f>
        <v/>
      </c>
      <c r="U484" s="29">
        <f>IF(OR(N484="",Q484&lt;&gt;"SUCCESS"),"",N484-SUM(I484:M484))</f>
        <v/>
      </c>
      <c r="V484" s="30">
        <f>IF(OR(N484="",N484=0,L484=""),"",L484/N484)</f>
        <v/>
      </c>
      <c r="W484" s="29">
        <f>IF(OR(N484="",G484="",G484=0),"",N484/(G484/60))</f>
        <v/>
      </c>
    </row>
    <row r="485">
      <c r="A485" s="22" t="n"/>
      <c r="B485" s="23" t="n"/>
      <c r="C485" s="24" t="n"/>
      <c r="D485" s="24" t="n"/>
      <c r="E485" s="24" t="n"/>
      <c r="F485" s="22" t="n"/>
      <c r="G485" s="25" t="n"/>
      <c r="H485" s="26" t="n"/>
      <c r="I485" s="26" t="n"/>
      <c r="J485" s="26" t="n"/>
      <c r="K485" s="26" t="n"/>
      <c r="L485" s="26" t="n"/>
      <c r="M485" s="26" t="n"/>
      <c r="N485" s="26" t="n"/>
      <c r="O485" s="26" t="n"/>
      <c r="P485" s="22" t="n"/>
      <c r="Q485" s="24" t="n"/>
      <c r="R485" s="24" t="n"/>
      <c r="S485" s="27" t="n"/>
      <c r="T485" s="28">
        <f>IF(Q485="","",IF(Q485="SUCCESS",1,0))</f>
        <v/>
      </c>
      <c r="U485" s="29">
        <f>IF(OR(N485="",Q485&lt;&gt;"SUCCESS"),"",N485-SUM(I485:M485))</f>
        <v/>
      </c>
      <c r="V485" s="30">
        <f>IF(OR(N485="",N485=0,L485=""),"",L485/N485)</f>
        <v/>
      </c>
      <c r="W485" s="29">
        <f>IF(OR(N485="",G485="",G485=0),"",N485/(G485/60))</f>
        <v/>
      </c>
    </row>
    <row r="486">
      <c r="A486" s="22" t="n"/>
      <c r="B486" s="23" t="n"/>
      <c r="C486" s="24" t="n"/>
      <c r="D486" s="24" t="n"/>
      <c r="E486" s="24" t="n"/>
      <c r="F486" s="22" t="n"/>
      <c r="G486" s="25" t="n"/>
      <c r="H486" s="26" t="n"/>
      <c r="I486" s="26" t="n"/>
      <c r="J486" s="26" t="n"/>
      <c r="K486" s="26" t="n"/>
      <c r="L486" s="26" t="n"/>
      <c r="M486" s="26" t="n"/>
      <c r="N486" s="26" t="n"/>
      <c r="O486" s="26" t="n"/>
      <c r="P486" s="22" t="n"/>
      <c r="Q486" s="24" t="n"/>
      <c r="R486" s="24" t="n"/>
      <c r="S486" s="27" t="n"/>
      <c r="T486" s="28">
        <f>IF(Q486="","",IF(Q486="SUCCESS",1,0))</f>
        <v/>
      </c>
      <c r="U486" s="29">
        <f>IF(OR(N486="",Q486&lt;&gt;"SUCCESS"),"",N486-SUM(I486:M486))</f>
        <v/>
      </c>
      <c r="V486" s="30">
        <f>IF(OR(N486="",N486=0,L486=""),"",L486/N486)</f>
        <v/>
      </c>
      <c r="W486" s="29">
        <f>IF(OR(N486="",G486="",G486=0),"",N486/(G486/60))</f>
        <v/>
      </c>
    </row>
    <row r="487">
      <c r="A487" s="22" t="n"/>
      <c r="B487" s="23" t="n"/>
      <c r="C487" s="24" t="n"/>
      <c r="D487" s="24" t="n"/>
      <c r="E487" s="24" t="n"/>
      <c r="F487" s="22" t="n"/>
      <c r="G487" s="25" t="n"/>
      <c r="H487" s="26" t="n"/>
      <c r="I487" s="26" t="n"/>
      <c r="J487" s="26" t="n"/>
      <c r="K487" s="26" t="n"/>
      <c r="L487" s="26" t="n"/>
      <c r="M487" s="26" t="n"/>
      <c r="N487" s="26" t="n"/>
      <c r="O487" s="26" t="n"/>
      <c r="P487" s="22" t="n"/>
      <c r="Q487" s="24" t="n"/>
      <c r="R487" s="24" t="n"/>
      <c r="S487" s="27" t="n"/>
      <c r="T487" s="28">
        <f>IF(Q487="","",IF(Q487="SUCCESS",1,0))</f>
        <v/>
      </c>
      <c r="U487" s="29">
        <f>IF(OR(N487="",Q487&lt;&gt;"SUCCESS"),"",N487-SUM(I487:M487))</f>
        <v/>
      </c>
      <c r="V487" s="30">
        <f>IF(OR(N487="",N487=0,L487=""),"",L487/N487)</f>
        <v/>
      </c>
      <c r="W487" s="29">
        <f>IF(OR(N487="",G487="",G487=0),"",N487/(G487/60))</f>
        <v/>
      </c>
    </row>
    <row r="488">
      <c r="A488" s="22" t="n"/>
      <c r="B488" s="23" t="n"/>
      <c r="C488" s="24" t="n"/>
      <c r="D488" s="24" t="n"/>
      <c r="E488" s="24" t="n"/>
      <c r="F488" s="22" t="n"/>
      <c r="G488" s="25" t="n"/>
      <c r="H488" s="26" t="n"/>
      <c r="I488" s="26" t="n"/>
      <c r="J488" s="26" t="n"/>
      <c r="K488" s="26" t="n"/>
      <c r="L488" s="26" t="n"/>
      <c r="M488" s="26" t="n"/>
      <c r="N488" s="26" t="n"/>
      <c r="O488" s="26" t="n"/>
      <c r="P488" s="22" t="n"/>
      <c r="Q488" s="24" t="n"/>
      <c r="R488" s="24" t="n"/>
      <c r="S488" s="27" t="n"/>
      <c r="T488" s="28">
        <f>IF(Q488="","",IF(Q488="SUCCESS",1,0))</f>
        <v/>
      </c>
      <c r="U488" s="29">
        <f>IF(OR(N488="",Q488&lt;&gt;"SUCCESS"),"",N488-SUM(I488:M488))</f>
        <v/>
      </c>
      <c r="V488" s="30">
        <f>IF(OR(N488="",N488=0,L488=""),"",L488/N488)</f>
        <v/>
      </c>
      <c r="W488" s="29">
        <f>IF(OR(N488="",G488="",G488=0),"",N488/(G488/60))</f>
        <v/>
      </c>
    </row>
    <row r="489">
      <c r="A489" s="22" t="n"/>
      <c r="B489" s="23" t="n"/>
      <c r="C489" s="24" t="n"/>
      <c r="D489" s="24" t="n"/>
      <c r="E489" s="24" t="n"/>
      <c r="F489" s="22" t="n"/>
      <c r="G489" s="25" t="n"/>
      <c r="H489" s="26" t="n"/>
      <c r="I489" s="26" t="n"/>
      <c r="J489" s="26" t="n"/>
      <c r="K489" s="26" t="n"/>
      <c r="L489" s="26" t="n"/>
      <c r="M489" s="26" t="n"/>
      <c r="N489" s="26" t="n"/>
      <c r="O489" s="26" t="n"/>
      <c r="P489" s="22" t="n"/>
      <c r="Q489" s="24" t="n"/>
      <c r="R489" s="24" t="n"/>
      <c r="S489" s="27" t="n"/>
      <c r="T489" s="28">
        <f>IF(Q489="","",IF(Q489="SUCCESS",1,0))</f>
        <v/>
      </c>
      <c r="U489" s="29">
        <f>IF(OR(N489="",Q489&lt;&gt;"SUCCESS"),"",N489-SUM(I489:M489))</f>
        <v/>
      </c>
      <c r="V489" s="30">
        <f>IF(OR(N489="",N489=0,L489=""),"",L489/N489)</f>
        <v/>
      </c>
      <c r="W489" s="29">
        <f>IF(OR(N489="",G489="",G489=0),"",N489/(G489/60))</f>
        <v/>
      </c>
    </row>
    <row r="490">
      <c r="A490" s="22" t="n"/>
      <c r="B490" s="23" t="n"/>
      <c r="C490" s="24" t="n"/>
      <c r="D490" s="24" t="n"/>
      <c r="E490" s="24" t="n"/>
      <c r="F490" s="22" t="n"/>
      <c r="G490" s="25" t="n"/>
      <c r="H490" s="26" t="n"/>
      <c r="I490" s="26" t="n"/>
      <c r="J490" s="26" t="n"/>
      <c r="K490" s="26" t="n"/>
      <c r="L490" s="26" t="n"/>
      <c r="M490" s="26" t="n"/>
      <c r="N490" s="26" t="n"/>
      <c r="O490" s="26" t="n"/>
      <c r="P490" s="22" t="n"/>
      <c r="Q490" s="24" t="n"/>
      <c r="R490" s="24" t="n"/>
      <c r="S490" s="27" t="n"/>
      <c r="T490" s="28">
        <f>IF(Q490="","",IF(Q490="SUCCESS",1,0))</f>
        <v/>
      </c>
      <c r="U490" s="29">
        <f>IF(OR(N490="",Q490&lt;&gt;"SUCCESS"),"",N490-SUM(I490:M490))</f>
        <v/>
      </c>
      <c r="V490" s="30">
        <f>IF(OR(N490="",N490=0,L490=""),"",L490/N490)</f>
        <v/>
      </c>
      <c r="W490" s="29">
        <f>IF(OR(N490="",G490="",G490=0),"",N490/(G490/60))</f>
        <v/>
      </c>
    </row>
    <row r="491">
      <c r="A491" s="22" t="n"/>
      <c r="B491" s="23" t="n"/>
      <c r="C491" s="24" t="n"/>
      <c r="D491" s="24" t="n"/>
      <c r="E491" s="24" t="n"/>
      <c r="F491" s="22" t="n"/>
      <c r="G491" s="25" t="n"/>
      <c r="H491" s="26" t="n"/>
      <c r="I491" s="26" t="n"/>
      <c r="J491" s="26" t="n"/>
      <c r="K491" s="26" t="n"/>
      <c r="L491" s="26" t="n"/>
      <c r="M491" s="26" t="n"/>
      <c r="N491" s="26" t="n"/>
      <c r="O491" s="26" t="n"/>
      <c r="P491" s="22" t="n"/>
      <c r="Q491" s="24" t="n"/>
      <c r="R491" s="24" t="n"/>
      <c r="S491" s="27" t="n"/>
      <c r="T491" s="28">
        <f>IF(Q491="","",IF(Q491="SUCCESS",1,0))</f>
        <v/>
      </c>
      <c r="U491" s="29">
        <f>IF(OR(N491="",Q491&lt;&gt;"SUCCESS"),"",N491-SUM(I491:M491))</f>
        <v/>
      </c>
      <c r="V491" s="30">
        <f>IF(OR(N491="",N491=0,L491=""),"",L491/N491)</f>
        <v/>
      </c>
      <c r="W491" s="29">
        <f>IF(OR(N491="",G491="",G491=0),"",N491/(G491/60))</f>
        <v/>
      </c>
    </row>
    <row r="492">
      <c r="A492" s="22" t="n"/>
      <c r="B492" s="23" t="n"/>
      <c r="C492" s="24" t="n"/>
      <c r="D492" s="24" t="n"/>
      <c r="E492" s="24" t="n"/>
      <c r="F492" s="22" t="n"/>
      <c r="G492" s="25" t="n"/>
      <c r="H492" s="26" t="n"/>
      <c r="I492" s="26" t="n"/>
      <c r="J492" s="26" t="n"/>
      <c r="K492" s="26" t="n"/>
      <c r="L492" s="26" t="n"/>
      <c r="M492" s="26" t="n"/>
      <c r="N492" s="26" t="n"/>
      <c r="O492" s="26" t="n"/>
      <c r="P492" s="22" t="n"/>
      <c r="Q492" s="24" t="n"/>
      <c r="R492" s="24" t="n"/>
      <c r="S492" s="27" t="n"/>
      <c r="T492" s="28">
        <f>IF(Q492="","",IF(Q492="SUCCESS",1,0))</f>
        <v/>
      </c>
      <c r="U492" s="29">
        <f>IF(OR(N492="",Q492&lt;&gt;"SUCCESS"),"",N492-SUM(I492:M492))</f>
        <v/>
      </c>
      <c r="V492" s="30">
        <f>IF(OR(N492="",N492=0,L492=""),"",L492/N492)</f>
        <v/>
      </c>
      <c r="W492" s="29">
        <f>IF(OR(N492="",G492="",G492=0),"",N492/(G492/60))</f>
        <v/>
      </c>
    </row>
    <row r="493">
      <c r="A493" s="22" t="n"/>
      <c r="B493" s="23" t="n"/>
      <c r="C493" s="24" t="n"/>
      <c r="D493" s="24" t="n"/>
      <c r="E493" s="24" t="n"/>
      <c r="F493" s="22" t="n"/>
      <c r="G493" s="25" t="n"/>
      <c r="H493" s="26" t="n"/>
      <c r="I493" s="26" t="n"/>
      <c r="J493" s="26" t="n"/>
      <c r="K493" s="26" t="n"/>
      <c r="L493" s="26" t="n"/>
      <c r="M493" s="26" t="n"/>
      <c r="N493" s="26" t="n"/>
      <c r="O493" s="26" t="n"/>
      <c r="P493" s="22" t="n"/>
      <c r="Q493" s="24" t="n"/>
      <c r="R493" s="24" t="n"/>
      <c r="S493" s="27" t="n"/>
      <c r="T493" s="28">
        <f>IF(Q493="","",IF(Q493="SUCCESS",1,0))</f>
        <v/>
      </c>
      <c r="U493" s="29">
        <f>IF(OR(N493="",Q493&lt;&gt;"SUCCESS"),"",N493-SUM(I493:M493))</f>
        <v/>
      </c>
      <c r="V493" s="30">
        <f>IF(OR(N493="",N493=0,L493=""),"",L493/N493)</f>
        <v/>
      </c>
      <c r="W493" s="29">
        <f>IF(OR(N493="",G493="",G493=0),"",N493/(G493/60))</f>
        <v/>
      </c>
    </row>
    <row r="494">
      <c r="A494" s="22" t="n"/>
      <c r="B494" s="23" t="n"/>
      <c r="C494" s="24" t="n"/>
      <c r="D494" s="24" t="n"/>
      <c r="E494" s="24" t="n"/>
      <c r="F494" s="22" t="n"/>
      <c r="G494" s="25" t="n"/>
      <c r="H494" s="26" t="n"/>
      <c r="I494" s="26" t="n"/>
      <c r="J494" s="26" t="n"/>
      <c r="K494" s="26" t="n"/>
      <c r="L494" s="26" t="n"/>
      <c r="M494" s="26" t="n"/>
      <c r="N494" s="26" t="n"/>
      <c r="O494" s="26" t="n"/>
      <c r="P494" s="22" t="n"/>
      <c r="Q494" s="24" t="n"/>
      <c r="R494" s="24" t="n"/>
      <c r="S494" s="27" t="n"/>
      <c r="T494" s="28">
        <f>IF(Q494="","",IF(Q494="SUCCESS",1,0))</f>
        <v/>
      </c>
      <c r="U494" s="29">
        <f>IF(OR(N494="",Q494&lt;&gt;"SUCCESS"),"",N494-SUM(I494:M494))</f>
        <v/>
      </c>
      <c r="V494" s="30">
        <f>IF(OR(N494="",N494=0,L494=""),"",L494/N494)</f>
        <v/>
      </c>
      <c r="W494" s="29">
        <f>IF(OR(N494="",G494="",G494=0),"",N494/(G494/60))</f>
        <v/>
      </c>
    </row>
    <row r="495">
      <c r="A495" s="22" t="n"/>
      <c r="B495" s="23" t="n"/>
      <c r="C495" s="24" t="n"/>
      <c r="D495" s="24" t="n"/>
      <c r="E495" s="24" t="n"/>
      <c r="F495" s="22" t="n"/>
      <c r="G495" s="25" t="n"/>
      <c r="H495" s="26" t="n"/>
      <c r="I495" s="26" t="n"/>
      <c r="J495" s="26" t="n"/>
      <c r="K495" s="26" t="n"/>
      <c r="L495" s="26" t="n"/>
      <c r="M495" s="26" t="n"/>
      <c r="N495" s="26" t="n"/>
      <c r="O495" s="26" t="n"/>
      <c r="P495" s="22" t="n"/>
      <c r="Q495" s="24" t="n"/>
      <c r="R495" s="24" t="n"/>
      <c r="S495" s="27" t="n"/>
      <c r="T495" s="28">
        <f>IF(Q495="","",IF(Q495="SUCCESS",1,0))</f>
        <v/>
      </c>
      <c r="U495" s="29">
        <f>IF(OR(N495="",Q495&lt;&gt;"SUCCESS"),"",N495-SUM(I495:M495))</f>
        <v/>
      </c>
      <c r="V495" s="30">
        <f>IF(OR(N495="",N495=0,L495=""),"",L495/N495)</f>
        <v/>
      </c>
      <c r="W495" s="29">
        <f>IF(OR(N495="",G495="",G495=0),"",N495/(G495/60))</f>
        <v/>
      </c>
    </row>
    <row r="496">
      <c r="A496" s="22" t="n"/>
      <c r="B496" s="23" t="n"/>
      <c r="C496" s="24" t="n"/>
      <c r="D496" s="24" t="n"/>
      <c r="E496" s="24" t="n"/>
      <c r="F496" s="22" t="n"/>
      <c r="G496" s="25" t="n"/>
      <c r="H496" s="26" t="n"/>
      <c r="I496" s="26" t="n"/>
      <c r="J496" s="26" t="n"/>
      <c r="K496" s="26" t="n"/>
      <c r="L496" s="26" t="n"/>
      <c r="M496" s="26" t="n"/>
      <c r="N496" s="26" t="n"/>
      <c r="O496" s="26" t="n"/>
      <c r="P496" s="22" t="n"/>
      <c r="Q496" s="24" t="n"/>
      <c r="R496" s="24" t="n"/>
      <c r="S496" s="27" t="n"/>
      <c r="T496" s="28">
        <f>IF(Q496="","",IF(Q496="SUCCESS",1,0))</f>
        <v/>
      </c>
      <c r="U496" s="29">
        <f>IF(OR(N496="",Q496&lt;&gt;"SUCCESS"),"",N496-SUM(I496:M496))</f>
        <v/>
      </c>
      <c r="V496" s="30">
        <f>IF(OR(N496="",N496=0,L496=""),"",L496/N496)</f>
        <v/>
      </c>
      <c r="W496" s="29">
        <f>IF(OR(N496="",G496="",G496=0),"",N496/(G496/60))</f>
        <v/>
      </c>
    </row>
    <row r="497">
      <c r="A497" s="22" t="n"/>
      <c r="B497" s="23" t="n"/>
      <c r="C497" s="24" t="n"/>
      <c r="D497" s="24" t="n"/>
      <c r="E497" s="24" t="n"/>
      <c r="F497" s="22" t="n"/>
      <c r="G497" s="25" t="n"/>
      <c r="H497" s="26" t="n"/>
      <c r="I497" s="26" t="n"/>
      <c r="J497" s="26" t="n"/>
      <c r="K497" s="26" t="n"/>
      <c r="L497" s="26" t="n"/>
      <c r="M497" s="26" t="n"/>
      <c r="N497" s="26" t="n"/>
      <c r="O497" s="26" t="n"/>
      <c r="P497" s="22" t="n"/>
      <c r="Q497" s="24" t="n"/>
      <c r="R497" s="24" t="n"/>
      <c r="S497" s="27" t="n"/>
      <c r="T497" s="28">
        <f>IF(Q497="","",IF(Q497="SUCCESS",1,0))</f>
        <v/>
      </c>
      <c r="U497" s="29">
        <f>IF(OR(N497="",Q497&lt;&gt;"SUCCESS"),"",N497-SUM(I497:M497))</f>
        <v/>
      </c>
      <c r="V497" s="30">
        <f>IF(OR(N497="",N497=0,L497=""),"",L497/N497)</f>
        <v/>
      </c>
      <c r="W497" s="29">
        <f>IF(OR(N497="",G497="",G497=0),"",N497/(G497/60))</f>
        <v/>
      </c>
    </row>
    <row r="498">
      <c r="A498" s="22" t="n"/>
      <c r="B498" s="23" t="n"/>
      <c r="C498" s="24" t="n"/>
      <c r="D498" s="24" t="n"/>
      <c r="E498" s="24" t="n"/>
      <c r="F498" s="22" t="n"/>
      <c r="G498" s="25" t="n"/>
      <c r="H498" s="26" t="n"/>
      <c r="I498" s="26" t="n"/>
      <c r="J498" s="26" t="n"/>
      <c r="K498" s="26" t="n"/>
      <c r="L498" s="26" t="n"/>
      <c r="M498" s="26" t="n"/>
      <c r="N498" s="26" t="n"/>
      <c r="O498" s="26" t="n"/>
      <c r="P498" s="22" t="n"/>
      <c r="Q498" s="24" t="n"/>
      <c r="R498" s="24" t="n"/>
      <c r="S498" s="27" t="n"/>
      <c r="T498" s="28">
        <f>IF(Q498="","",IF(Q498="SUCCESS",1,0))</f>
        <v/>
      </c>
      <c r="U498" s="29">
        <f>IF(OR(N498="",Q498&lt;&gt;"SUCCESS"),"",N498-SUM(I498:M498))</f>
        <v/>
      </c>
      <c r="V498" s="30">
        <f>IF(OR(N498="",N498=0,L498=""),"",L498/N498)</f>
        <v/>
      </c>
      <c r="W498" s="29">
        <f>IF(OR(N498="",G498="",G498=0),"",N498/(G498/60))</f>
        <v/>
      </c>
    </row>
    <row r="499">
      <c r="A499" s="22" t="n"/>
      <c r="B499" s="23" t="n"/>
      <c r="C499" s="24" t="n"/>
      <c r="D499" s="24" t="n"/>
      <c r="E499" s="24" t="n"/>
      <c r="F499" s="22" t="n"/>
      <c r="G499" s="25" t="n"/>
      <c r="H499" s="26" t="n"/>
      <c r="I499" s="26" t="n"/>
      <c r="J499" s="26" t="n"/>
      <c r="K499" s="26" t="n"/>
      <c r="L499" s="26" t="n"/>
      <c r="M499" s="26" t="n"/>
      <c r="N499" s="26" t="n"/>
      <c r="O499" s="26" t="n"/>
      <c r="P499" s="22" t="n"/>
      <c r="Q499" s="24" t="n"/>
      <c r="R499" s="24" t="n"/>
      <c r="S499" s="27" t="n"/>
      <c r="T499" s="28">
        <f>IF(Q499="","",IF(Q499="SUCCESS",1,0))</f>
        <v/>
      </c>
      <c r="U499" s="29">
        <f>IF(OR(N499="",Q499&lt;&gt;"SUCCESS"),"",N499-SUM(I499:M499))</f>
        <v/>
      </c>
      <c r="V499" s="30">
        <f>IF(OR(N499="",N499=0,L499=""),"",L499/N499)</f>
        <v/>
      </c>
      <c r="W499" s="29">
        <f>IF(OR(N499="",G499="",G499=0),"",N499/(G499/60))</f>
        <v/>
      </c>
    </row>
    <row r="500">
      <c r="A500" s="22" t="n"/>
      <c r="B500" s="23" t="n"/>
      <c r="C500" s="24" t="n"/>
      <c r="D500" s="24" t="n"/>
      <c r="E500" s="24" t="n"/>
      <c r="F500" s="22" t="n"/>
      <c r="G500" s="25" t="n"/>
      <c r="H500" s="26" t="n"/>
      <c r="I500" s="26" t="n"/>
      <c r="J500" s="26" t="n"/>
      <c r="K500" s="26" t="n"/>
      <c r="L500" s="26" t="n"/>
      <c r="M500" s="26" t="n"/>
      <c r="N500" s="26" t="n"/>
      <c r="O500" s="26" t="n"/>
      <c r="P500" s="22" t="n"/>
      <c r="Q500" s="24" t="n"/>
      <c r="R500" s="24" t="n"/>
      <c r="S500" s="27" t="n"/>
      <c r="T500" s="28">
        <f>IF(Q500="","",IF(Q500="SUCCESS",1,0))</f>
        <v/>
      </c>
      <c r="U500" s="29">
        <f>IF(OR(N500="",Q500&lt;&gt;"SUCCESS"),"",N500-SUM(I500:M500))</f>
        <v/>
      </c>
      <c r="V500" s="30">
        <f>IF(OR(N500="",N500=0,L500=""),"",L500/N500)</f>
        <v/>
      </c>
      <c r="W500" s="29">
        <f>IF(OR(N500="",G500="",G500=0),"",N500/(G500/60))</f>
        <v/>
      </c>
    </row>
    <row r="501">
      <c r="A501" s="22" t="n"/>
      <c r="B501" s="23" t="n"/>
      <c r="C501" s="24" t="n"/>
      <c r="D501" s="24" t="n"/>
      <c r="E501" s="24" t="n"/>
      <c r="F501" s="22" t="n"/>
      <c r="G501" s="25" t="n"/>
      <c r="H501" s="26" t="n"/>
      <c r="I501" s="26" t="n"/>
      <c r="J501" s="26" t="n"/>
      <c r="K501" s="26" t="n"/>
      <c r="L501" s="26" t="n"/>
      <c r="M501" s="26" t="n"/>
      <c r="N501" s="26" t="n"/>
      <c r="O501" s="26" t="n"/>
      <c r="P501" s="22" t="n"/>
      <c r="Q501" s="24" t="n"/>
      <c r="R501" s="24" t="n"/>
      <c r="S501" s="27" t="n"/>
      <c r="T501" s="28">
        <f>IF(Q501="","",IF(Q501="SUCCESS",1,0))</f>
        <v/>
      </c>
      <c r="U501" s="29">
        <f>IF(OR(N501="",Q501&lt;&gt;"SUCCESS"),"",N501-SUM(I501:M501))</f>
        <v/>
      </c>
      <c r="V501" s="30">
        <f>IF(OR(N501="",N501=0,L501=""),"",L501/N501)</f>
        <v/>
      </c>
      <c r="W501" s="29">
        <f>IF(OR(N501="",G501="",G501=0),"",N501/(G501/60))</f>
        <v/>
      </c>
    </row>
    <row r="502">
      <c r="A502" s="22" t="n"/>
      <c r="B502" s="23" t="n"/>
      <c r="C502" s="24" t="n"/>
      <c r="D502" s="24" t="n"/>
      <c r="E502" s="24" t="n"/>
      <c r="F502" s="22" t="n"/>
      <c r="G502" s="25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2" t="n"/>
      <c r="Q502" s="24" t="n"/>
      <c r="R502" s="24" t="n"/>
      <c r="S502" s="27" t="n"/>
      <c r="T502" s="28">
        <f>IF(Q502="","",IF(Q502="SUCCESS",1,0))</f>
        <v/>
      </c>
      <c r="U502" s="29">
        <f>IF(OR(N502="",Q502&lt;&gt;"SUCCESS"),"",N502-SUM(I502:M502))</f>
        <v/>
      </c>
      <c r="V502" s="30">
        <f>IF(OR(N502="",N502=0,L502=""),"",L502/N502)</f>
        <v/>
      </c>
      <c r="W502" s="29">
        <f>IF(OR(N502="",G502="",G502=0),"",N502/(G502/60))</f>
        <v/>
      </c>
    </row>
    <row r="503">
      <c r="A503" s="22" t="n"/>
      <c r="B503" s="23" t="n"/>
      <c r="C503" s="24" t="n"/>
      <c r="D503" s="24" t="n"/>
      <c r="E503" s="24" t="n"/>
      <c r="F503" s="22" t="n"/>
      <c r="G503" s="25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2" t="n"/>
      <c r="Q503" s="24" t="n"/>
      <c r="R503" s="24" t="n"/>
      <c r="S503" s="27" t="n"/>
      <c r="T503" s="28">
        <f>IF(Q503="","",IF(Q503="SUCCESS",1,0))</f>
        <v/>
      </c>
      <c r="U503" s="29">
        <f>IF(OR(N503="",Q503&lt;&gt;"SUCCESS"),"",N503-SUM(I503:M503))</f>
        <v/>
      </c>
      <c r="V503" s="30">
        <f>IF(OR(N503="",N503=0,L503=""),"",L503/N503)</f>
        <v/>
      </c>
      <c r="W503" s="29">
        <f>IF(OR(N503="",G503="",G503=0),"",N503/(G503/60))</f>
        <v/>
      </c>
    </row>
    <row r="504">
      <c r="A504" s="22" t="n"/>
      <c r="B504" s="23" t="n"/>
      <c r="C504" s="24" t="n"/>
      <c r="D504" s="24" t="n"/>
      <c r="E504" s="24" t="n"/>
      <c r="F504" s="22" t="n"/>
      <c r="G504" s="25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2" t="n"/>
      <c r="Q504" s="24" t="n"/>
      <c r="R504" s="24" t="n"/>
      <c r="S504" s="27" t="n"/>
      <c r="T504" s="28">
        <f>IF(Q504="","",IF(Q504="SUCCESS",1,0))</f>
        <v/>
      </c>
      <c r="U504" s="29">
        <f>IF(OR(N504="",Q504&lt;&gt;"SUCCESS"),"",N504-SUM(I504:M504))</f>
        <v/>
      </c>
      <c r="V504" s="30">
        <f>IF(OR(N504="",N504=0,L504=""),"",L504/N504)</f>
        <v/>
      </c>
      <c r="W504" s="29">
        <f>IF(OR(N504="",G504="",G504=0),"",N504/(G504/60))</f>
        <v/>
      </c>
    </row>
    <row r="505">
      <c r="A505" s="22" t="n"/>
      <c r="B505" s="23" t="n"/>
      <c r="C505" s="24" t="n"/>
      <c r="D505" s="24" t="n"/>
      <c r="E505" s="24" t="n"/>
      <c r="F505" s="22" t="n"/>
      <c r="G505" s="25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2" t="n"/>
      <c r="Q505" s="24" t="n"/>
      <c r="R505" s="24" t="n"/>
      <c r="S505" s="27" t="n"/>
      <c r="T505" s="28">
        <f>IF(Q505="","",IF(Q505="SUCCESS",1,0))</f>
        <v/>
      </c>
      <c r="U505" s="29">
        <f>IF(OR(N505="",Q505&lt;&gt;"SUCCESS"),"",N505-SUM(I505:M505))</f>
        <v/>
      </c>
      <c r="V505" s="30">
        <f>IF(OR(N505="",N505=0,L505=""),"",L505/N505)</f>
        <v/>
      </c>
      <c r="W505" s="29">
        <f>IF(OR(N505="",G505="",G505=0),"",N505/(G505/60))</f>
        <v/>
      </c>
    </row>
  </sheetData>
  <autoFilter ref="A5:W505"/>
  <mergeCells count="4">
    <mergeCell ref="A4:H4"/>
    <mergeCell ref="T4:W4"/>
    <mergeCell ref="I4:O4"/>
    <mergeCell ref="P4:S4"/>
  </mergeCells>
  <conditionalFormatting sqref="Q6:Q505">
    <cfRule type="expression" priority="1" dxfId="0">
      <formula>$Q6="SUCCESS"</formula>
    </cfRule>
    <cfRule type="expression" priority="2" dxfId="1">
      <formula>$Q6="SILENT_FAILURE"</formula>
    </cfRule>
    <cfRule type="expression" priority="3" dxfId="2">
      <formula>$Q6="FAILED"</formula>
    </cfRule>
    <cfRule type="expression" priority="4" dxfId="3">
      <formula>$Q6="TIMEOUT"</formula>
    </cfRule>
    <cfRule type="expression" priority="5" dxfId="4">
      <formula>$Q6="STUCK"</formula>
    </cfRule>
  </conditionalFormatting>
  <dataValidations count="5">
    <dataValidation sqref="C6:C505" showDropDown="0" showInputMessage="0" showErrorMessage="0" allowBlank="1" errorTitle="Nilai tidak ada di daftar" error="Nilai di luar daftar. Tambahkan dulu ke sheet 'Daftar Pilihan' bila ini label baru." type="list" errorStyle="warning">
      <formula1>'Daftar Pilihan'!$A$5:$A$24</formula1>
    </dataValidation>
    <dataValidation sqref="D6:D505" showDropDown="0" showInputMessage="0" showErrorMessage="0" allowBlank="1" type="list">
      <formula1>'Daftar Pilihan'!$B$5:$B$6</formula1>
    </dataValidation>
    <dataValidation sqref="F6:F505" showDropDown="0" showInputMessage="0" showErrorMessage="0" allowBlank="1" type="list">
      <formula1>'Daftar Pilihan'!$C$5:$C$8</formula1>
    </dataValidation>
    <dataValidation sqref="Q6:Q505" showDropDown="0" showInputMessage="1" showErrorMessage="0" allowBlank="1" promptTitle="Status Akhir" prompt="SUCCESS / SILENT_FAILURE / FAILED / TIMEOUT / STUCK. Lihat definisi di sheet Petunjuk." type="list">
      <formula1>'Daftar Pilihan'!$D$5:$D$9</formula1>
    </dataValidation>
    <dataValidation sqref="R6:R505" showDropDown="0" showInputMessage="0" showErrorMessage="0" allowBlank="1" type="list">
      <formula1>'Daftar Pilihan'!$E$5:$E$12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5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Ringkasan Latensi per Durasi Video</t>
        </is>
      </c>
    </row>
    <row r="2">
      <c r="A2" s="2" t="inlineStr">
        <is>
          <t>Statistik waktu hanya memakai baris berstatus SUCCESS. Ganti Label A / Label B (sel kuning) untuk membandingkan fase lain, mis. baseline-fault30 vs optimized-fault30.</t>
        </is>
      </c>
    </row>
    <row r="4">
      <c r="B4" s="31" t="inlineStr">
        <is>
          <t>Label A</t>
        </is>
      </c>
      <c r="C4" s="4" t="inlineStr">
        <is>
          <t>baseline</t>
        </is>
      </c>
    </row>
    <row r="5">
      <c r="B5" s="31" t="inlineStr">
        <is>
          <t>Label B</t>
        </is>
      </c>
      <c r="C5" s="4" t="inlineStr">
        <is>
          <t>optimized</t>
        </is>
      </c>
    </row>
    <row r="7">
      <c r="B7" s="3">
        <f>"Tabel A: "&amp;$C$4</f>
        <v/>
      </c>
    </row>
    <row r="8" ht="58" customHeight="1">
      <c r="B8" s="10" t="inlineStr">
        <is>
          <t>Durasi Target (mnt)</t>
        </is>
      </c>
      <c r="C8" s="10" t="inlineStr">
        <is>
          <t>n (diuji)</t>
        </is>
      </c>
      <c r="D8" s="10" t="inlineStr">
        <is>
          <t>Sukses</t>
        </is>
      </c>
      <c r="E8" s="10" t="inlineStr">
        <is>
          <t>Tingkat Gagal</t>
        </is>
      </c>
      <c r="F8" s="10" t="inlineStr">
        <is>
          <t>Rata-rata Total Server (dtk)</t>
        </is>
      </c>
      <c r="G8" s="10" t="inlineStr">
        <is>
          <t>SD (dtk)</t>
        </is>
      </c>
      <c r="H8" s="10" t="inlineStr">
        <is>
          <t>Median (dtk)</t>
        </is>
      </c>
      <c r="I8" s="10" t="inlineStr">
        <is>
          <t>P95 (dtk)</t>
        </is>
      </c>
      <c r="J8" s="10" t="inlineStr">
        <is>
          <t>Min (dtk)</t>
        </is>
      </c>
      <c r="K8" s="10" t="inlineStr">
        <is>
          <t>Maks (dtk)</t>
        </is>
      </c>
      <c r="L8" s="10" t="inlineStr">
        <is>
          <t>Terima File (dtk)</t>
        </is>
      </c>
      <c r="M8" s="10" t="inlineStr">
        <is>
          <t>Upload Gemini (dtk)</t>
        </is>
      </c>
      <c r="N8" s="10" t="inlineStr">
        <is>
          <t>Tunggu ACTIVE (dtk)</t>
        </is>
      </c>
      <c r="O8" s="10" t="inlineStr">
        <is>
          <t>generateContent (dtk)</t>
        </is>
      </c>
      <c r="P8" s="10" t="inlineStr">
        <is>
          <t>Simpan DB (dtk)</t>
        </is>
      </c>
      <c r="Q8" s="10" t="inlineStr">
        <is>
          <t>Lain-lain (dtk)</t>
        </is>
      </c>
      <c r="R8" s="10" t="inlineStr">
        <is>
          <t>Rata-rata Total Dirasakan User (dtk)</t>
        </is>
      </c>
      <c r="S8" s="10" t="inlineStr">
        <is>
          <t>Latensi per Menit Video (dtk/mnt)</t>
        </is>
      </c>
      <c r="T8" s="10" t="inlineStr">
        <is>
          <t>Rata-rata Percobaan generate</t>
        </is>
      </c>
    </row>
    <row r="9">
      <c r="B9" s="32" t="n">
        <v>1</v>
      </c>
      <c r="C9" s="28">
        <f>SUMPRODUCT(('Data Pengujian'!$C$6:$C$505=$C$4)*('Data Pengujian'!$F$6:$F$505=$B9)*('Data Pengujian'!$Q$6:$Q$505&lt;&gt;""))</f>
        <v/>
      </c>
      <c r="D9" s="28">
        <f>COUNTIFS('Data Pengujian'!$C$6:$C$505,$C$4,'Data Pengujian'!$F$6:$F$505,$B9,'Data Pengujian'!$Q$6:$Q$505,"SUCCESS")</f>
        <v/>
      </c>
      <c r="E9" s="30">
        <f>IF(C9=0,"",1-D9/C9)</f>
        <v/>
      </c>
      <c r="F9" s="29">
        <f>IFERROR(AVERAGEIFS('Data Pengujian'!$N$6:$N$505,'Data Pengujian'!$C$6:$C$505,$C$4,'Data Pengujian'!$F$6:$F$505,$B9,'Data Pengujian'!$Q$6:$Q$505,"SUCCESS"),"")</f>
        <v/>
      </c>
      <c r="G9" s="29">
        <f>IF(SUMPRODUCT(('Data Pengujian'!$C$6:$C$505=$C$4)*('Data Pengujian'!$F$6:$F$505=$B9)*('Data Pengujian'!$Q$6:$Q$505="SUCCESS")*('Data Pengujian'!$N$6:$N$505&lt;&gt;""))&lt;2,"",SQRT(SUMPRODUCT(('Data Pengujian'!$C$6:$C$505=$C$4)*('Data Pengujian'!$F$6:$F$505=$B9)*('Data Pengujian'!$Q$6:$Q$505="SUCCESS")*('Data Pengujian'!$N$6:$N$505&lt;&gt;"")*('Data Pengujian'!$N$6:$N$505-F9)^2)/(SUMPRODUCT(('Data Pengujian'!$C$6:$C$505=$C$4)*('Data Pengujian'!$F$6:$F$505=$B9)*('Data Pengujian'!$Q$6:$Q$505="SUCCESS")*('Data Pengujian'!$N$6:$N$505&lt;&gt;""))-1)))</f>
        <v/>
      </c>
      <c r="H9" s="29">
        <f t="array" ref="H9">IFERROR(MEDIAN(IF(('Data Pengujian'!$C$6:$C$505=$C$4)*('Data Pengujian'!$F$6:$F$505=$B9)*('Data Pengujian'!$Q$6:$Q$505="SUCCESS")*('Data Pengujian'!$N$6:$N$505&lt;&gt;""),'Data Pengujian'!$N$6:$N$505)),"")</f>
        <v/>
      </c>
      <c r="I9" s="29">
        <f t="array" ref="I9">IFERROR(PERCENTILE(IF(('Data Pengujian'!$C$6:$C$505=$C$4)*('Data Pengujian'!$F$6:$F$505=$B9)*('Data Pengujian'!$Q$6:$Q$505="SUCCESS")*('Data Pengujian'!$N$6:$N$505&lt;&gt;""),'Data Pengujian'!$N$6:$N$505),0.95),"")</f>
        <v/>
      </c>
      <c r="J9" s="29">
        <f t="array" ref="J9">IF(SUMPRODUCT(('Data Pengujian'!$C$6:$C$505=$C$4)*('Data Pengujian'!$F$6:$F$505=$B9)*('Data Pengujian'!$Q$6:$Q$505="SUCCESS")*('Data Pengujian'!$N$6:$N$505&lt;&gt;""))=0,"",MIN(IF(('Data Pengujian'!$C$6:$C$505=$C$4)*('Data Pengujian'!$F$6:$F$505=$B9)*('Data Pengujian'!$Q$6:$Q$505="SUCCESS")*('Data Pengujian'!$N$6:$N$505&lt;&gt;""),'Data Pengujian'!$N$6:$N$505)))</f>
        <v/>
      </c>
      <c r="K9" s="29">
        <f t="array" ref="K9">IF(SUMPRODUCT(('Data Pengujian'!$C$6:$C$505=$C$4)*('Data Pengujian'!$F$6:$F$505=$B9)*('Data Pengujian'!$Q$6:$Q$505="SUCCESS")*('Data Pengujian'!$N$6:$N$505&lt;&gt;""))=0,"",MAX(IF(('Data Pengujian'!$C$6:$C$505=$C$4)*('Data Pengujian'!$F$6:$F$505=$B9)*('Data Pengujian'!$Q$6:$Q$505="SUCCESS")*('Data Pengujian'!$N$6:$N$505&lt;&gt;""),'Data Pengujian'!$N$6:$N$505)))</f>
        <v/>
      </c>
      <c r="L9" s="29">
        <f>IFERROR(AVERAGEIFS('Data Pengujian'!$I$6:$I$505,'Data Pengujian'!$C$6:$C$505,$C$4,'Data Pengujian'!$F$6:$F$505,$B9,'Data Pengujian'!$Q$6:$Q$505,"SUCCESS"),"")</f>
        <v/>
      </c>
      <c r="M9" s="29">
        <f>IFERROR(AVERAGEIFS('Data Pengujian'!$J$6:$J$505,'Data Pengujian'!$C$6:$C$505,$C$4,'Data Pengujian'!$F$6:$F$505,$B9,'Data Pengujian'!$Q$6:$Q$505,"SUCCESS"),"")</f>
        <v/>
      </c>
      <c r="N9" s="29">
        <f>IFERROR(AVERAGEIFS('Data Pengujian'!$K$6:$K$505,'Data Pengujian'!$C$6:$C$505,$C$4,'Data Pengujian'!$F$6:$F$505,$B9,'Data Pengujian'!$Q$6:$Q$505,"SUCCESS"),"")</f>
        <v/>
      </c>
      <c r="O9" s="29">
        <f>IFERROR(AVERAGEIFS('Data Pengujian'!$L$6:$L$505,'Data Pengujian'!$C$6:$C$505,$C$4,'Data Pengujian'!$F$6:$F$505,$B9,'Data Pengujian'!$Q$6:$Q$505,"SUCCESS"),"")</f>
        <v/>
      </c>
      <c r="P9" s="29">
        <f>IFERROR(AVERAGEIFS('Data Pengujian'!$M$6:$M$505,'Data Pengujian'!$C$6:$C$505,$C$4,'Data Pengujian'!$F$6:$F$505,$B9,'Data Pengujian'!$Q$6:$Q$505,"SUCCESS"),"")</f>
        <v/>
      </c>
      <c r="Q9" s="29">
        <f>IFERROR(AVERAGEIFS('Data Pengujian'!$U$6:$U$505,'Data Pengujian'!$C$6:$C$505,$C$4,'Data Pengujian'!$F$6:$F$505,$B9,'Data Pengujian'!$Q$6:$Q$505,"SUCCESS"),"")</f>
        <v/>
      </c>
      <c r="R9" s="29">
        <f>IFERROR(AVERAGEIFS('Data Pengujian'!$O$6:$O$505,'Data Pengujian'!$C$6:$C$505,$C$4,'Data Pengujian'!$F$6:$F$505,$B9,'Data Pengujian'!$Q$6:$Q$505,"SUCCESS"),"")</f>
        <v/>
      </c>
      <c r="S9" s="29">
        <f>IFERROR(AVERAGEIFS('Data Pengujian'!$W$6:$W$505,'Data Pengujian'!$C$6:$C$505,$C$4,'Data Pengujian'!$F$6:$F$505,$B9,'Data Pengujian'!$Q$6:$Q$505,"SUCCESS"),"")</f>
        <v/>
      </c>
      <c r="T9" s="29">
        <f>IFERROR(SUMPRODUCT(('Data Pengujian'!$C$6:$C$505=$C$4)*('Data Pengujian'!$F$6:$F$505=$B9)*('Data Pengujian'!$Q$6:$Q$505&lt;&gt;"")*'Data Pengujian'!$P$6:$P$505)/SUMPRODUCT(('Data Pengujian'!$C$6:$C$505=$C$4)*('Data Pengujian'!$F$6:$F$505=$B9)*('Data Pengujian'!$Q$6:$Q$505&lt;&gt;"")*('Data Pengujian'!$P$6:$P$505&lt;&gt;"")),"")</f>
        <v/>
      </c>
    </row>
    <row r="10">
      <c r="B10" s="32" t="n">
        <v>3</v>
      </c>
      <c r="C10" s="28">
        <f>SUMPRODUCT(('Data Pengujian'!$C$6:$C$505=$C$4)*('Data Pengujian'!$F$6:$F$505=$B10)*('Data Pengujian'!$Q$6:$Q$505&lt;&gt;""))</f>
        <v/>
      </c>
      <c r="D10" s="28">
        <f>COUNTIFS('Data Pengujian'!$C$6:$C$505,$C$4,'Data Pengujian'!$F$6:$F$505,$B10,'Data Pengujian'!$Q$6:$Q$505,"SUCCESS")</f>
        <v/>
      </c>
      <c r="E10" s="30">
        <f>IF(C10=0,"",1-D10/C10)</f>
        <v/>
      </c>
      <c r="F10" s="29">
        <f>IFERROR(AVERAGEIFS('Data Pengujian'!$N$6:$N$505,'Data Pengujian'!$C$6:$C$505,$C$4,'Data Pengujian'!$F$6:$F$505,$B10,'Data Pengujian'!$Q$6:$Q$505,"SUCCESS"),"")</f>
        <v/>
      </c>
      <c r="G10" s="29">
        <f>IF(SUMPRODUCT(('Data Pengujian'!$C$6:$C$505=$C$4)*('Data Pengujian'!$F$6:$F$505=$B10)*('Data Pengujian'!$Q$6:$Q$505="SUCCESS")*('Data Pengujian'!$N$6:$N$505&lt;&gt;""))&lt;2,"",SQRT(SUMPRODUCT(('Data Pengujian'!$C$6:$C$505=$C$4)*('Data Pengujian'!$F$6:$F$505=$B10)*('Data Pengujian'!$Q$6:$Q$505="SUCCESS")*('Data Pengujian'!$N$6:$N$505&lt;&gt;"")*('Data Pengujian'!$N$6:$N$505-F10)^2)/(SUMPRODUCT(('Data Pengujian'!$C$6:$C$505=$C$4)*('Data Pengujian'!$F$6:$F$505=$B10)*('Data Pengujian'!$Q$6:$Q$505="SUCCESS")*('Data Pengujian'!$N$6:$N$505&lt;&gt;""))-1)))</f>
        <v/>
      </c>
      <c r="H10" s="29">
        <f t="array" ref="H10">IFERROR(MEDIAN(IF(('Data Pengujian'!$C$6:$C$505=$C$4)*('Data Pengujian'!$F$6:$F$505=$B10)*('Data Pengujian'!$Q$6:$Q$505="SUCCESS")*('Data Pengujian'!$N$6:$N$505&lt;&gt;""),'Data Pengujian'!$N$6:$N$505)),"")</f>
        <v/>
      </c>
      <c r="I10" s="29">
        <f t="array" ref="I10">IFERROR(PERCENTILE(IF(('Data Pengujian'!$C$6:$C$505=$C$4)*('Data Pengujian'!$F$6:$F$505=$B10)*('Data Pengujian'!$Q$6:$Q$505="SUCCESS")*('Data Pengujian'!$N$6:$N$505&lt;&gt;""),'Data Pengujian'!$N$6:$N$505),0.95),"")</f>
        <v/>
      </c>
      <c r="J10" s="29">
        <f t="array" ref="J10">IF(SUMPRODUCT(('Data Pengujian'!$C$6:$C$505=$C$4)*('Data Pengujian'!$F$6:$F$505=$B10)*('Data Pengujian'!$Q$6:$Q$505="SUCCESS")*('Data Pengujian'!$N$6:$N$505&lt;&gt;""))=0,"",MIN(IF(('Data Pengujian'!$C$6:$C$505=$C$4)*('Data Pengujian'!$F$6:$F$505=$B10)*('Data Pengujian'!$Q$6:$Q$505="SUCCESS")*('Data Pengujian'!$N$6:$N$505&lt;&gt;""),'Data Pengujian'!$N$6:$N$505)))</f>
        <v/>
      </c>
      <c r="K10" s="29">
        <f t="array" ref="K10">IF(SUMPRODUCT(('Data Pengujian'!$C$6:$C$505=$C$4)*('Data Pengujian'!$F$6:$F$505=$B10)*('Data Pengujian'!$Q$6:$Q$505="SUCCESS")*('Data Pengujian'!$N$6:$N$505&lt;&gt;""))=0,"",MAX(IF(('Data Pengujian'!$C$6:$C$505=$C$4)*('Data Pengujian'!$F$6:$F$505=$B10)*('Data Pengujian'!$Q$6:$Q$505="SUCCESS")*('Data Pengujian'!$N$6:$N$505&lt;&gt;""),'Data Pengujian'!$N$6:$N$505)))</f>
        <v/>
      </c>
      <c r="L10" s="29">
        <f>IFERROR(AVERAGEIFS('Data Pengujian'!$I$6:$I$505,'Data Pengujian'!$C$6:$C$505,$C$4,'Data Pengujian'!$F$6:$F$505,$B10,'Data Pengujian'!$Q$6:$Q$505,"SUCCESS"),"")</f>
        <v/>
      </c>
      <c r="M10" s="29">
        <f>IFERROR(AVERAGEIFS('Data Pengujian'!$J$6:$J$505,'Data Pengujian'!$C$6:$C$505,$C$4,'Data Pengujian'!$F$6:$F$505,$B10,'Data Pengujian'!$Q$6:$Q$505,"SUCCESS"),"")</f>
        <v/>
      </c>
      <c r="N10" s="29">
        <f>IFERROR(AVERAGEIFS('Data Pengujian'!$K$6:$K$505,'Data Pengujian'!$C$6:$C$505,$C$4,'Data Pengujian'!$F$6:$F$505,$B10,'Data Pengujian'!$Q$6:$Q$505,"SUCCESS"),"")</f>
        <v/>
      </c>
      <c r="O10" s="29">
        <f>IFERROR(AVERAGEIFS('Data Pengujian'!$L$6:$L$505,'Data Pengujian'!$C$6:$C$505,$C$4,'Data Pengujian'!$F$6:$F$505,$B10,'Data Pengujian'!$Q$6:$Q$505,"SUCCESS"),"")</f>
        <v/>
      </c>
      <c r="P10" s="29">
        <f>IFERROR(AVERAGEIFS('Data Pengujian'!$M$6:$M$505,'Data Pengujian'!$C$6:$C$505,$C$4,'Data Pengujian'!$F$6:$F$505,$B10,'Data Pengujian'!$Q$6:$Q$505,"SUCCESS"),"")</f>
        <v/>
      </c>
      <c r="Q10" s="29">
        <f>IFERROR(AVERAGEIFS('Data Pengujian'!$U$6:$U$505,'Data Pengujian'!$C$6:$C$505,$C$4,'Data Pengujian'!$F$6:$F$505,$B10,'Data Pengujian'!$Q$6:$Q$505,"SUCCESS"),"")</f>
        <v/>
      </c>
      <c r="R10" s="29">
        <f>IFERROR(AVERAGEIFS('Data Pengujian'!$O$6:$O$505,'Data Pengujian'!$C$6:$C$505,$C$4,'Data Pengujian'!$F$6:$F$505,$B10,'Data Pengujian'!$Q$6:$Q$505,"SUCCESS"),"")</f>
        <v/>
      </c>
      <c r="S10" s="29">
        <f>IFERROR(AVERAGEIFS('Data Pengujian'!$W$6:$W$505,'Data Pengujian'!$C$6:$C$505,$C$4,'Data Pengujian'!$F$6:$F$505,$B10,'Data Pengujian'!$Q$6:$Q$505,"SUCCESS"),"")</f>
        <v/>
      </c>
      <c r="T10" s="29">
        <f>IFERROR(SUMPRODUCT(('Data Pengujian'!$C$6:$C$505=$C$4)*('Data Pengujian'!$F$6:$F$505=$B10)*('Data Pengujian'!$Q$6:$Q$505&lt;&gt;"")*'Data Pengujian'!$P$6:$P$505)/SUMPRODUCT(('Data Pengujian'!$C$6:$C$505=$C$4)*('Data Pengujian'!$F$6:$F$505=$B10)*('Data Pengujian'!$Q$6:$Q$505&lt;&gt;"")*('Data Pengujian'!$P$6:$P$505&lt;&gt;"")),"")</f>
        <v/>
      </c>
    </row>
    <row r="11">
      <c r="B11" s="32" t="n">
        <v>5</v>
      </c>
      <c r="C11" s="28">
        <f>SUMPRODUCT(('Data Pengujian'!$C$6:$C$505=$C$4)*('Data Pengujian'!$F$6:$F$505=$B11)*('Data Pengujian'!$Q$6:$Q$505&lt;&gt;""))</f>
        <v/>
      </c>
      <c r="D11" s="28">
        <f>COUNTIFS('Data Pengujian'!$C$6:$C$505,$C$4,'Data Pengujian'!$F$6:$F$505,$B11,'Data Pengujian'!$Q$6:$Q$505,"SUCCESS")</f>
        <v/>
      </c>
      <c r="E11" s="30">
        <f>IF(C11=0,"",1-D11/C11)</f>
        <v/>
      </c>
      <c r="F11" s="29">
        <f>IFERROR(AVERAGEIFS('Data Pengujian'!$N$6:$N$505,'Data Pengujian'!$C$6:$C$505,$C$4,'Data Pengujian'!$F$6:$F$505,$B11,'Data Pengujian'!$Q$6:$Q$505,"SUCCESS"),"")</f>
        <v/>
      </c>
      <c r="G11" s="29">
        <f>IF(SUMPRODUCT(('Data Pengujian'!$C$6:$C$505=$C$4)*('Data Pengujian'!$F$6:$F$505=$B11)*('Data Pengujian'!$Q$6:$Q$505="SUCCESS")*('Data Pengujian'!$N$6:$N$505&lt;&gt;""))&lt;2,"",SQRT(SUMPRODUCT(('Data Pengujian'!$C$6:$C$505=$C$4)*('Data Pengujian'!$F$6:$F$505=$B11)*('Data Pengujian'!$Q$6:$Q$505="SUCCESS")*('Data Pengujian'!$N$6:$N$505&lt;&gt;"")*('Data Pengujian'!$N$6:$N$505-F11)^2)/(SUMPRODUCT(('Data Pengujian'!$C$6:$C$505=$C$4)*('Data Pengujian'!$F$6:$F$505=$B11)*('Data Pengujian'!$Q$6:$Q$505="SUCCESS")*('Data Pengujian'!$N$6:$N$505&lt;&gt;""))-1)))</f>
        <v/>
      </c>
      <c r="H11" s="29">
        <f t="array" ref="H11">IFERROR(MEDIAN(IF(('Data Pengujian'!$C$6:$C$505=$C$4)*('Data Pengujian'!$F$6:$F$505=$B11)*('Data Pengujian'!$Q$6:$Q$505="SUCCESS")*('Data Pengujian'!$N$6:$N$505&lt;&gt;""),'Data Pengujian'!$N$6:$N$505)),"")</f>
        <v/>
      </c>
      <c r="I11" s="29">
        <f t="array" ref="I11">IFERROR(PERCENTILE(IF(('Data Pengujian'!$C$6:$C$505=$C$4)*('Data Pengujian'!$F$6:$F$505=$B11)*('Data Pengujian'!$Q$6:$Q$505="SUCCESS")*('Data Pengujian'!$N$6:$N$505&lt;&gt;""),'Data Pengujian'!$N$6:$N$505),0.95),"")</f>
        <v/>
      </c>
      <c r="J11" s="29">
        <f t="array" ref="J11">IF(SUMPRODUCT(('Data Pengujian'!$C$6:$C$505=$C$4)*('Data Pengujian'!$F$6:$F$505=$B11)*('Data Pengujian'!$Q$6:$Q$505="SUCCESS")*('Data Pengujian'!$N$6:$N$505&lt;&gt;""))=0,"",MIN(IF(('Data Pengujian'!$C$6:$C$505=$C$4)*('Data Pengujian'!$F$6:$F$505=$B11)*('Data Pengujian'!$Q$6:$Q$505="SUCCESS")*('Data Pengujian'!$N$6:$N$505&lt;&gt;""),'Data Pengujian'!$N$6:$N$505)))</f>
        <v/>
      </c>
      <c r="K11" s="29">
        <f t="array" ref="K11">IF(SUMPRODUCT(('Data Pengujian'!$C$6:$C$505=$C$4)*('Data Pengujian'!$F$6:$F$505=$B11)*('Data Pengujian'!$Q$6:$Q$505="SUCCESS")*('Data Pengujian'!$N$6:$N$505&lt;&gt;""))=0,"",MAX(IF(('Data Pengujian'!$C$6:$C$505=$C$4)*('Data Pengujian'!$F$6:$F$505=$B11)*('Data Pengujian'!$Q$6:$Q$505="SUCCESS")*('Data Pengujian'!$N$6:$N$505&lt;&gt;""),'Data Pengujian'!$N$6:$N$505)))</f>
        <v/>
      </c>
      <c r="L11" s="29">
        <f>IFERROR(AVERAGEIFS('Data Pengujian'!$I$6:$I$505,'Data Pengujian'!$C$6:$C$505,$C$4,'Data Pengujian'!$F$6:$F$505,$B11,'Data Pengujian'!$Q$6:$Q$505,"SUCCESS"),"")</f>
        <v/>
      </c>
      <c r="M11" s="29">
        <f>IFERROR(AVERAGEIFS('Data Pengujian'!$J$6:$J$505,'Data Pengujian'!$C$6:$C$505,$C$4,'Data Pengujian'!$F$6:$F$505,$B11,'Data Pengujian'!$Q$6:$Q$505,"SUCCESS"),"")</f>
        <v/>
      </c>
      <c r="N11" s="29">
        <f>IFERROR(AVERAGEIFS('Data Pengujian'!$K$6:$K$505,'Data Pengujian'!$C$6:$C$505,$C$4,'Data Pengujian'!$F$6:$F$505,$B11,'Data Pengujian'!$Q$6:$Q$505,"SUCCESS"),"")</f>
        <v/>
      </c>
      <c r="O11" s="29">
        <f>IFERROR(AVERAGEIFS('Data Pengujian'!$L$6:$L$505,'Data Pengujian'!$C$6:$C$505,$C$4,'Data Pengujian'!$F$6:$F$505,$B11,'Data Pengujian'!$Q$6:$Q$505,"SUCCESS"),"")</f>
        <v/>
      </c>
      <c r="P11" s="29">
        <f>IFERROR(AVERAGEIFS('Data Pengujian'!$M$6:$M$505,'Data Pengujian'!$C$6:$C$505,$C$4,'Data Pengujian'!$F$6:$F$505,$B11,'Data Pengujian'!$Q$6:$Q$505,"SUCCESS"),"")</f>
        <v/>
      </c>
      <c r="Q11" s="29">
        <f>IFERROR(AVERAGEIFS('Data Pengujian'!$U$6:$U$505,'Data Pengujian'!$C$6:$C$505,$C$4,'Data Pengujian'!$F$6:$F$505,$B11,'Data Pengujian'!$Q$6:$Q$505,"SUCCESS"),"")</f>
        <v/>
      </c>
      <c r="R11" s="29">
        <f>IFERROR(AVERAGEIFS('Data Pengujian'!$O$6:$O$505,'Data Pengujian'!$C$6:$C$505,$C$4,'Data Pengujian'!$F$6:$F$505,$B11,'Data Pengujian'!$Q$6:$Q$505,"SUCCESS"),"")</f>
        <v/>
      </c>
      <c r="S11" s="29">
        <f>IFERROR(AVERAGEIFS('Data Pengujian'!$W$6:$W$505,'Data Pengujian'!$C$6:$C$505,$C$4,'Data Pengujian'!$F$6:$F$505,$B11,'Data Pengujian'!$Q$6:$Q$505,"SUCCESS"),"")</f>
        <v/>
      </c>
      <c r="T11" s="29">
        <f>IFERROR(SUMPRODUCT(('Data Pengujian'!$C$6:$C$505=$C$4)*('Data Pengujian'!$F$6:$F$505=$B11)*('Data Pengujian'!$Q$6:$Q$505&lt;&gt;"")*'Data Pengujian'!$P$6:$P$505)/SUMPRODUCT(('Data Pengujian'!$C$6:$C$505=$C$4)*('Data Pengujian'!$F$6:$F$505=$B11)*('Data Pengujian'!$Q$6:$Q$505&lt;&gt;"")*('Data Pengujian'!$P$6:$P$505&lt;&gt;"")),"")</f>
        <v/>
      </c>
    </row>
    <row r="12">
      <c r="B12" s="32" t="n">
        <v>8</v>
      </c>
      <c r="C12" s="28">
        <f>SUMPRODUCT(('Data Pengujian'!$C$6:$C$505=$C$4)*('Data Pengujian'!$F$6:$F$505=$B12)*('Data Pengujian'!$Q$6:$Q$505&lt;&gt;""))</f>
        <v/>
      </c>
      <c r="D12" s="28">
        <f>COUNTIFS('Data Pengujian'!$C$6:$C$505,$C$4,'Data Pengujian'!$F$6:$F$505,$B12,'Data Pengujian'!$Q$6:$Q$505,"SUCCESS")</f>
        <v/>
      </c>
      <c r="E12" s="30">
        <f>IF(C12=0,"",1-D12/C12)</f>
        <v/>
      </c>
      <c r="F12" s="29">
        <f>IFERROR(AVERAGEIFS('Data Pengujian'!$N$6:$N$505,'Data Pengujian'!$C$6:$C$505,$C$4,'Data Pengujian'!$F$6:$F$505,$B12,'Data Pengujian'!$Q$6:$Q$505,"SUCCESS"),"")</f>
        <v/>
      </c>
      <c r="G12" s="29">
        <f>IF(SUMPRODUCT(('Data Pengujian'!$C$6:$C$505=$C$4)*('Data Pengujian'!$F$6:$F$505=$B12)*('Data Pengujian'!$Q$6:$Q$505="SUCCESS")*('Data Pengujian'!$N$6:$N$505&lt;&gt;""))&lt;2,"",SQRT(SUMPRODUCT(('Data Pengujian'!$C$6:$C$505=$C$4)*('Data Pengujian'!$F$6:$F$505=$B12)*('Data Pengujian'!$Q$6:$Q$505="SUCCESS")*('Data Pengujian'!$N$6:$N$505&lt;&gt;"")*('Data Pengujian'!$N$6:$N$505-F12)^2)/(SUMPRODUCT(('Data Pengujian'!$C$6:$C$505=$C$4)*('Data Pengujian'!$F$6:$F$505=$B12)*('Data Pengujian'!$Q$6:$Q$505="SUCCESS")*('Data Pengujian'!$N$6:$N$505&lt;&gt;""))-1)))</f>
        <v/>
      </c>
      <c r="H12" s="29">
        <f t="array" ref="H12">IFERROR(MEDIAN(IF(('Data Pengujian'!$C$6:$C$505=$C$4)*('Data Pengujian'!$F$6:$F$505=$B12)*('Data Pengujian'!$Q$6:$Q$505="SUCCESS")*('Data Pengujian'!$N$6:$N$505&lt;&gt;""),'Data Pengujian'!$N$6:$N$505)),"")</f>
        <v/>
      </c>
      <c r="I12" s="29">
        <f t="array" ref="I12">IFERROR(PERCENTILE(IF(('Data Pengujian'!$C$6:$C$505=$C$4)*('Data Pengujian'!$F$6:$F$505=$B12)*('Data Pengujian'!$Q$6:$Q$505="SUCCESS")*('Data Pengujian'!$N$6:$N$505&lt;&gt;""),'Data Pengujian'!$N$6:$N$505),0.95),"")</f>
        <v/>
      </c>
      <c r="J12" s="29">
        <f t="array" ref="J12">IF(SUMPRODUCT(('Data Pengujian'!$C$6:$C$505=$C$4)*('Data Pengujian'!$F$6:$F$505=$B12)*('Data Pengujian'!$Q$6:$Q$505="SUCCESS")*('Data Pengujian'!$N$6:$N$505&lt;&gt;""))=0,"",MIN(IF(('Data Pengujian'!$C$6:$C$505=$C$4)*('Data Pengujian'!$F$6:$F$505=$B12)*('Data Pengujian'!$Q$6:$Q$505="SUCCESS")*('Data Pengujian'!$N$6:$N$505&lt;&gt;""),'Data Pengujian'!$N$6:$N$505)))</f>
        <v/>
      </c>
      <c r="K12" s="29">
        <f t="array" ref="K12">IF(SUMPRODUCT(('Data Pengujian'!$C$6:$C$505=$C$4)*('Data Pengujian'!$F$6:$F$505=$B12)*('Data Pengujian'!$Q$6:$Q$505="SUCCESS")*('Data Pengujian'!$N$6:$N$505&lt;&gt;""))=0,"",MAX(IF(('Data Pengujian'!$C$6:$C$505=$C$4)*('Data Pengujian'!$F$6:$F$505=$B12)*('Data Pengujian'!$Q$6:$Q$505="SUCCESS")*('Data Pengujian'!$N$6:$N$505&lt;&gt;""),'Data Pengujian'!$N$6:$N$505)))</f>
        <v/>
      </c>
      <c r="L12" s="29">
        <f>IFERROR(AVERAGEIFS('Data Pengujian'!$I$6:$I$505,'Data Pengujian'!$C$6:$C$505,$C$4,'Data Pengujian'!$F$6:$F$505,$B12,'Data Pengujian'!$Q$6:$Q$505,"SUCCESS"),"")</f>
        <v/>
      </c>
      <c r="M12" s="29">
        <f>IFERROR(AVERAGEIFS('Data Pengujian'!$J$6:$J$505,'Data Pengujian'!$C$6:$C$505,$C$4,'Data Pengujian'!$F$6:$F$505,$B12,'Data Pengujian'!$Q$6:$Q$505,"SUCCESS"),"")</f>
        <v/>
      </c>
      <c r="N12" s="29">
        <f>IFERROR(AVERAGEIFS('Data Pengujian'!$K$6:$K$505,'Data Pengujian'!$C$6:$C$505,$C$4,'Data Pengujian'!$F$6:$F$505,$B12,'Data Pengujian'!$Q$6:$Q$505,"SUCCESS"),"")</f>
        <v/>
      </c>
      <c r="O12" s="29">
        <f>IFERROR(AVERAGEIFS('Data Pengujian'!$L$6:$L$505,'Data Pengujian'!$C$6:$C$505,$C$4,'Data Pengujian'!$F$6:$F$505,$B12,'Data Pengujian'!$Q$6:$Q$505,"SUCCESS"),"")</f>
        <v/>
      </c>
      <c r="P12" s="29">
        <f>IFERROR(AVERAGEIFS('Data Pengujian'!$M$6:$M$505,'Data Pengujian'!$C$6:$C$505,$C$4,'Data Pengujian'!$F$6:$F$505,$B12,'Data Pengujian'!$Q$6:$Q$505,"SUCCESS"),"")</f>
        <v/>
      </c>
      <c r="Q12" s="29">
        <f>IFERROR(AVERAGEIFS('Data Pengujian'!$U$6:$U$505,'Data Pengujian'!$C$6:$C$505,$C$4,'Data Pengujian'!$F$6:$F$505,$B12,'Data Pengujian'!$Q$6:$Q$505,"SUCCESS"),"")</f>
        <v/>
      </c>
      <c r="R12" s="29">
        <f>IFERROR(AVERAGEIFS('Data Pengujian'!$O$6:$O$505,'Data Pengujian'!$C$6:$C$505,$C$4,'Data Pengujian'!$F$6:$F$505,$B12,'Data Pengujian'!$Q$6:$Q$505,"SUCCESS"),"")</f>
        <v/>
      </c>
      <c r="S12" s="29">
        <f>IFERROR(AVERAGEIFS('Data Pengujian'!$W$6:$W$505,'Data Pengujian'!$C$6:$C$505,$C$4,'Data Pengujian'!$F$6:$F$505,$B12,'Data Pengujian'!$Q$6:$Q$505,"SUCCESS"),"")</f>
        <v/>
      </c>
      <c r="T12" s="29">
        <f>IFERROR(SUMPRODUCT(('Data Pengujian'!$C$6:$C$505=$C$4)*('Data Pengujian'!$F$6:$F$505=$B12)*('Data Pengujian'!$Q$6:$Q$505&lt;&gt;"")*'Data Pengujian'!$P$6:$P$505)/SUMPRODUCT(('Data Pengujian'!$C$6:$C$505=$C$4)*('Data Pengujian'!$F$6:$F$505=$B12)*('Data Pengujian'!$Q$6:$Q$505&lt;&gt;"")*('Data Pengujian'!$P$6:$P$505&lt;&gt;"")),"")</f>
        <v/>
      </c>
    </row>
    <row r="13">
      <c r="B13" s="20" t="inlineStr">
        <is>
          <t>Semua</t>
        </is>
      </c>
      <c r="C13" s="33">
        <f>SUMPRODUCT(('Data Pengujian'!$C$6:$C$505=$C$4)*('Data Pengujian'!$Q$6:$Q$505&lt;&gt;""))</f>
        <v/>
      </c>
      <c r="D13" s="33">
        <f>COUNTIFS('Data Pengujian'!$C$6:$C$505,$C$4,'Data Pengujian'!$Q$6:$Q$505,"SUCCESS")</f>
        <v/>
      </c>
      <c r="E13" s="34">
        <f>IF(C13=0,"",1-D13/C13)</f>
        <v/>
      </c>
      <c r="F13" s="35">
        <f>IFERROR(AVERAGEIFS('Data Pengujian'!$N$6:$N$505,'Data Pengujian'!$C$6:$C$505,$C$4,'Data Pengujian'!$Q$6:$Q$505,"SUCCESS"),"")</f>
        <v/>
      </c>
      <c r="G13" s="35">
        <f>IF(SUMPRODUCT(('Data Pengujian'!$C$6:$C$505=$C$4)*('Data Pengujian'!$Q$6:$Q$505="SUCCESS")*('Data Pengujian'!$N$6:$N$505&lt;&gt;""))&lt;2,"",SQRT(SUMPRODUCT(('Data Pengujian'!$C$6:$C$505=$C$4)*('Data Pengujian'!$Q$6:$Q$505="SUCCESS")*('Data Pengujian'!$N$6:$N$505&lt;&gt;"")*('Data Pengujian'!$N$6:$N$505-F13)^2)/(SUMPRODUCT(('Data Pengujian'!$C$6:$C$505=$C$4)*('Data Pengujian'!$Q$6:$Q$505="SUCCESS")*('Data Pengujian'!$N$6:$N$505&lt;&gt;""))-1)))</f>
        <v/>
      </c>
      <c r="H13" s="35">
        <f t="array" ref="H13">IFERROR(MEDIAN(IF(('Data Pengujian'!$C$6:$C$505=$C$4)*('Data Pengujian'!$Q$6:$Q$505="SUCCESS")*('Data Pengujian'!$N$6:$N$505&lt;&gt;""),'Data Pengujian'!$N$6:$N$505)),"")</f>
        <v/>
      </c>
      <c r="I13" s="35">
        <f t="array" ref="I13">IFERROR(PERCENTILE(IF(('Data Pengujian'!$C$6:$C$505=$C$4)*('Data Pengujian'!$Q$6:$Q$505="SUCCESS")*('Data Pengujian'!$N$6:$N$505&lt;&gt;""),'Data Pengujian'!$N$6:$N$505),0.95),"")</f>
        <v/>
      </c>
      <c r="J13" s="35">
        <f t="array" ref="J13">IF(SUMPRODUCT(('Data Pengujian'!$C$6:$C$505=$C$4)*('Data Pengujian'!$Q$6:$Q$505="SUCCESS")*('Data Pengujian'!$N$6:$N$505&lt;&gt;""))=0,"",MIN(IF(('Data Pengujian'!$C$6:$C$505=$C$4)*('Data Pengujian'!$Q$6:$Q$505="SUCCESS")*('Data Pengujian'!$N$6:$N$505&lt;&gt;""),'Data Pengujian'!$N$6:$N$505)))</f>
        <v/>
      </c>
      <c r="K13" s="35">
        <f t="array" ref="K13">IF(SUMPRODUCT(('Data Pengujian'!$C$6:$C$505=$C$4)*('Data Pengujian'!$Q$6:$Q$505="SUCCESS")*('Data Pengujian'!$N$6:$N$505&lt;&gt;""))=0,"",MAX(IF(('Data Pengujian'!$C$6:$C$505=$C$4)*('Data Pengujian'!$Q$6:$Q$505="SUCCESS")*('Data Pengujian'!$N$6:$N$505&lt;&gt;""),'Data Pengujian'!$N$6:$N$505)))</f>
        <v/>
      </c>
      <c r="L13" s="35">
        <f>IFERROR(AVERAGEIFS('Data Pengujian'!$I$6:$I$505,'Data Pengujian'!$C$6:$C$505,$C$4,'Data Pengujian'!$Q$6:$Q$505,"SUCCESS"),"")</f>
        <v/>
      </c>
      <c r="M13" s="35">
        <f>IFERROR(AVERAGEIFS('Data Pengujian'!$J$6:$J$505,'Data Pengujian'!$C$6:$C$505,$C$4,'Data Pengujian'!$Q$6:$Q$505,"SUCCESS"),"")</f>
        <v/>
      </c>
      <c r="N13" s="35">
        <f>IFERROR(AVERAGEIFS('Data Pengujian'!$K$6:$K$505,'Data Pengujian'!$C$6:$C$505,$C$4,'Data Pengujian'!$Q$6:$Q$505,"SUCCESS"),"")</f>
        <v/>
      </c>
      <c r="O13" s="35">
        <f>IFERROR(AVERAGEIFS('Data Pengujian'!$L$6:$L$505,'Data Pengujian'!$C$6:$C$505,$C$4,'Data Pengujian'!$Q$6:$Q$505,"SUCCESS"),"")</f>
        <v/>
      </c>
      <c r="P13" s="35">
        <f>IFERROR(AVERAGEIFS('Data Pengujian'!$M$6:$M$505,'Data Pengujian'!$C$6:$C$505,$C$4,'Data Pengujian'!$Q$6:$Q$505,"SUCCESS"),"")</f>
        <v/>
      </c>
      <c r="Q13" s="35">
        <f>IFERROR(AVERAGEIFS('Data Pengujian'!$U$6:$U$505,'Data Pengujian'!$C$6:$C$505,$C$4,'Data Pengujian'!$Q$6:$Q$505,"SUCCESS"),"")</f>
        <v/>
      </c>
      <c r="R13" s="35">
        <f>IFERROR(AVERAGEIFS('Data Pengujian'!$O$6:$O$505,'Data Pengujian'!$C$6:$C$505,$C$4,'Data Pengujian'!$Q$6:$Q$505,"SUCCESS"),"")</f>
        <v/>
      </c>
      <c r="S13" s="35">
        <f>IFERROR(AVERAGEIFS('Data Pengujian'!$W$6:$W$505,'Data Pengujian'!$C$6:$C$505,$C$4,'Data Pengujian'!$Q$6:$Q$505,"SUCCESS"),"")</f>
        <v/>
      </c>
      <c r="T13" s="35">
        <f>IFERROR(SUMPRODUCT(('Data Pengujian'!$C$6:$C$505=$C$4)*('Data Pengujian'!$Q$6:$Q$505&lt;&gt;"")*'Data Pengujian'!$P$6:$P$505)/SUMPRODUCT(('Data Pengujian'!$C$6:$C$505=$C$4)*('Data Pengujian'!$Q$6:$Q$505&lt;&gt;"")*('Data Pengujian'!$P$6:$P$505&lt;&gt;"")),"")</f>
        <v/>
      </c>
    </row>
    <row r="16">
      <c r="B16" s="3">
        <f>"Tabel B: "&amp;$C$5</f>
        <v/>
      </c>
    </row>
    <row r="17" ht="58" customHeight="1">
      <c r="B17" s="10" t="inlineStr">
        <is>
          <t>Durasi Target (mnt)</t>
        </is>
      </c>
      <c r="C17" s="10" t="inlineStr">
        <is>
          <t>n (diuji)</t>
        </is>
      </c>
      <c r="D17" s="10" t="inlineStr">
        <is>
          <t>Sukses</t>
        </is>
      </c>
      <c r="E17" s="10" t="inlineStr">
        <is>
          <t>Tingkat Gagal</t>
        </is>
      </c>
      <c r="F17" s="10" t="inlineStr">
        <is>
          <t>Rata-rata Total Server (dtk)</t>
        </is>
      </c>
      <c r="G17" s="10" t="inlineStr">
        <is>
          <t>SD (dtk)</t>
        </is>
      </c>
      <c r="H17" s="10" t="inlineStr">
        <is>
          <t>Median (dtk)</t>
        </is>
      </c>
      <c r="I17" s="10" t="inlineStr">
        <is>
          <t>P95 (dtk)</t>
        </is>
      </c>
      <c r="J17" s="10" t="inlineStr">
        <is>
          <t>Min (dtk)</t>
        </is>
      </c>
      <c r="K17" s="10" t="inlineStr">
        <is>
          <t>Maks (dtk)</t>
        </is>
      </c>
      <c r="L17" s="10" t="inlineStr">
        <is>
          <t>Terima File (dtk)</t>
        </is>
      </c>
      <c r="M17" s="10" t="inlineStr">
        <is>
          <t>Upload Gemini (dtk)</t>
        </is>
      </c>
      <c r="N17" s="10" t="inlineStr">
        <is>
          <t>Tunggu ACTIVE (dtk)</t>
        </is>
      </c>
      <c r="O17" s="10" t="inlineStr">
        <is>
          <t>generateContent (dtk)</t>
        </is>
      </c>
      <c r="P17" s="10" t="inlineStr">
        <is>
          <t>Simpan DB (dtk)</t>
        </is>
      </c>
      <c r="Q17" s="10" t="inlineStr">
        <is>
          <t>Lain-lain (dtk)</t>
        </is>
      </c>
      <c r="R17" s="10" t="inlineStr">
        <is>
          <t>Rata-rata Total Dirasakan User (dtk)</t>
        </is>
      </c>
      <c r="S17" s="10" t="inlineStr">
        <is>
          <t>Latensi per Menit Video (dtk/mnt)</t>
        </is>
      </c>
      <c r="T17" s="10" t="inlineStr">
        <is>
          <t>Rata-rata Percobaan generate</t>
        </is>
      </c>
    </row>
    <row r="18">
      <c r="B18" s="32" t="n">
        <v>1</v>
      </c>
      <c r="C18" s="28">
        <f>SUMPRODUCT(('Data Pengujian'!$C$6:$C$505=$C$5)*('Data Pengujian'!$F$6:$F$505=$B18)*('Data Pengujian'!$Q$6:$Q$505&lt;&gt;""))</f>
        <v/>
      </c>
      <c r="D18" s="28">
        <f>COUNTIFS('Data Pengujian'!$C$6:$C$505,$C$5,'Data Pengujian'!$F$6:$F$505,$B18,'Data Pengujian'!$Q$6:$Q$505,"SUCCESS")</f>
        <v/>
      </c>
      <c r="E18" s="30">
        <f>IF(C18=0,"",1-D18/C18)</f>
        <v/>
      </c>
      <c r="F18" s="29">
        <f>IFERROR(AVERAGEIFS('Data Pengujian'!$N$6:$N$505,'Data Pengujian'!$C$6:$C$505,$C$5,'Data Pengujian'!$F$6:$F$505,$B18,'Data Pengujian'!$Q$6:$Q$505,"SUCCESS"),"")</f>
        <v/>
      </c>
      <c r="G18" s="29">
        <f>IF(SUMPRODUCT(('Data Pengujian'!$C$6:$C$505=$C$5)*('Data Pengujian'!$F$6:$F$505=$B18)*('Data Pengujian'!$Q$6:$Q$505="SUCCESS")*('Data Pengujian'!$N$6:$N$505&lt;&gt;""))&lt;2,"",SQRT(SUMPRODUCT(('Data Pengujian'!$C$6:$C$505=$C$5)*('Data Pengujian'!$F$6:$F$505=$B18)*('Data Pengujian'!$Q$6:$Q$505="SUCCESS")*('Data Pengujian'!$N$6:$N$505&lt;&gt;"")*('Data Pengujian'!$N$6:$N$505-F18)^2)/(SUMPRODUCT(('Data Pengujian'!$C$6:$C$505=$C$5)*('Data Pengujian'!$F$6:$F$505=$B18)*('Data Pengujian'!$Q$6:$Q$505="SUCCESS")*('Data Pengujian'!$N$6:$N$505&lt;&gt;""))-1)))</f>
        <v/>
      </c>
      <c r="H18" s="29">
        <f t="array" ref="H18">IFERROR(MEDIAN(IF(('Data Pengujian'!$C$6:$C$505=$C$5)*('Data Pengujian'!$F$6:$F$505=$B18)*('Data Pengujian'!$Q$6:$Q$505="SUCCESS")*('Data Pengujian'!$N$6:$N$505&lt;&gt;""),'Data Pengujian'!$N$6:$N$505)),"")</f>
        <v/>
      </c>
      <c r="I18" s="29">
        <f t="array" ref="I18">IFERROR(PERCENTILE(IF(('Data Pengujian'!$C$6:$C$505=$C$5)*('Data Pengujian'!$F$6:$F$505=$B18)*('Data Pengujian'!$Q$6:$Q$505="SUCCESS")*('Data Pengujian'!$N$6:$N$505&lt;&gt;""),'Data Pengujian'!$N$6:$N$505),0.95),"")</f>
        <v/>
      </c>
      <c r="J18" s="29">
        <f t="array" ref="J18">IF(SUMPRODUCT(('Data Pengujian'!$C$6:$C$505=$C$5)*('Data Pengujian'!$F$6:$F$505=$B18)*('Data Pengujian'!$Q$6:$Q$505="SUCCESS")*('Data Pengujian'!$N$6:$N$505&lt;&gt;""))=0,"",MIN(IF(('Data Pengujian'!$C$6:$C$505=$C$5)*('Data Pengujian'!$F$6:$F$505=$B18)*('Data Pengujian'!$Q$6:$Q$505="SUCCESS")*('Data Pengujian'!$N$6:$N$505&lt;&gt;""),'Data Pengujian'!$N$6:$N$505)))</f>
        <v/>
      </c>
      <c r="K18" s="29">
        <f t="array" ref="K18">IF(SUMPRODUCT(('Data Pengujian'!$C$6:$C$505=$C$5)*('Data Pengujian'!$F$6:$F$505=$B18)*('Data Pengujian'!$Q$6:$Q$505="SUCCESS")*('Data Pengujian'!$N$6:$N$505&lt;&gt;""))=0,"",MAX(IF(('Data Pengujian'!$C$6:$C$505=$C$5)*('Data Pengujian'!$F$6:$F$505=$B18)*('Data Pengujian'!$Q$6:$Q$505="SUCCESS")*('Data Pengujian'!$N$6:$N$505&lt;&gt;""),'Data Pengujian'!$N$6:$N$505)))</f>
        <v/>
      </c>
      <c r="L18" s="29">
        <f>IFERROR(AVERAGEIFS('Data Pengujian'!$I$6:$I$505,'Data Pengujian'!$C$6:$C$505,$C$5,'Data Pengujian'!$F$6:$F$505,$B18,'Data Pengujian'!$Q$6:$Q$505,"SUCCESS"),"")</f>
        <v/>
      </c>
      <c r="M18" s="29">
        <f>IFERROR(AVERAGEIFS('Data Pengujian'!$J$6:$J$505,'Data Pengujian'!$C$6:$C$505,$C$5,'Data Pengujian'!$F$6:$F$505,$B18,'Data Pengujian'!$Q$6:$Q$505,"SUCCESS"),"")</f>
        <v/>
      </c>
      <c r="N18" s="29">
        <f>IFERROR(AVERAGEIFS('Data Pengujian'!$K$6:$K$505,'Data Pengujian'!$C$6:$C$505,$C$5,'Data Pengujian'!$F$6:$F$505,$B18,'Data Pengujian'!$Q$6:$Q$505,"SUCCESS"),"")</f>
        <v/>
      </c>
      <c r="O18" s="29">
        <f>IFERROR(AVERAGEIFS('Data Pengujian'!$L$6:$L$505,'Data Pengujian'!$C$6:$C$505,$C$5,'Data Pengujian'!$F$6:$F$505,$B18,'Data Pengujian'!$Q$6:$Q$505,"SUCCESS"),"")</f>
        <v/>
      </c>
      <c r="P18" s="29">
        <f>IFERROR(AVERAGEIFS('Data Pengujian'!$M$6:$M$505,'Data Pengujian'!$C$6:$C$505,$C$5,'Data Pengujian'!$F$6:$F$505,$B18,'Data Pengujian'!$Q$6:$Q$505,"SUCCESS"),"")</f>
        <v/>
      </c>
      <c r="Q18" s="29">
        <f>IFERROR(AVERAGEIFS('Data Pengujian'!$U$6:$U$505,'Data Pengujian'!$C$6:$C$505,$C$5,'Data Pengujian'!$F$6:$F$505,$B18,'Data Pengujian'!$Q$6:$Q$505,"SUCCESS"),"")</f>
        <v/>
      </c>
      <c r="R18" s="29">
        <f>IFERROR(AVERAGEIFS('Data Pengujian'!$O$6:$O$505,'Data Pengujian'!$C$6:$C$505,$C$5,'Data Pengujian'!$F$6:$F$505,$B18,'Data Pengujian'!$Q$6:$Q$505,"SUCCESS"),"")</f>
        <v/>
      </c>
      <c r="S18" s="29">
        <f>IFERROR(AVERAGEIFS('Data Pengujian'!$W$6:$W$505,'Data Pengujian'!$C$6:$C$505,$C$5,'Data Pengujian'!$F$6:$F$505,$B18,'Data Pengujian'!$Q$6:$Q$505,"SUCCESS"),"")</f>
        <v/>
      </c>
      <c r="T18" s="29">
        <f>IFERROR(SUMPRODUCT(('Data Pengujian'!$C$6:$C$505=$C$5)*('Data Pengujian'!$F$6:$F$505=$B18)*('Data Pengujian'!$Q$6:$Q$505&lt;&gt;"")*'Data Pengujian'!$P$6:$P$505)/SUMPRODUCT(('Data Pengujian'!$C$6:$C$505=$C$5)*('Data Pengujian'!$F$6:$F$505=$B18)*('Data Pengujian'!$Q$6:$Q$505&lt;&gt;"")*('Data Pengujian'!$P$6:$P$505&lt;&gt;"")),"")</f>
        <v/>
      </c>
    </row>
    <row r="19">
      <c r="B19" s="32" t="n">
        <v>3</v>
      </c>
      <c r="C19" s="28">
        <f>SUMPRODUCT(('Data Pengujian'!$C$6:$C$505=$C$5)*('Data Pengujian'!$F$6:$F$505=$B19)*('Data Pengujian'!$Q$6:$Q$505&lt;&gt;""))</f>
        <v/>
      </c>
      <c r="D19" s="28">
        <f>COUNTIFS('Data Pengujian'!$C$6:$C$505,$C$5,'Data Pengujian'!$F$6:$F$505,$B19,'Data Pengujian'!$Q$6:$Q$505,"SUCCESS")</f>
        <v/>
      </c>
      <c r="E19" s="30">
        <f>IF(C19=0,"",1-D19/C19)</f>
        <v/>
      </c>
      <c r="F19" s="29">
        <f>IFERROR(AVERAGEIFS('Data Pengujian'!$N$6:$N$505,'Data Pengujian'!$C$6:$C$505,$C$5,'Data Pengujian'!$F$6:$F$505,$B19,'Data Pengujian'!$Q$6:$Q$505,"SUCCESS"),"")</f>
        <v/>
      </c>
      <c r="G19" s="29">
        <f>IF(SUMPRODUCT(('Data Pengujian'!$C$6:$C$505=$C$5)*('Data Pengujian'!$F$6:$F$505=$B19)*('Data Pengujian'!$Q$6:$Q$505="SUCCESS")*('Data Pengujian'!$N$6:$N$505&lt;&gt;""))&lt;2,"",SQRT(SUMPRODUCT(('Data Pengujian'!$C$6:$C$505=$C$5)*('Data Pengujian'!$F$6:$F$505=$B19)*('Data Pengujian'!$Q$6:$Q$505="SUCCESS")*('Data Pengujian'!$N$6:$N$505&lt;&gt;"")*('Data Pengujian'!$N$6:$N$505-F19)^2)/(SUMPRODUCT(('Data Pengujian'!$C$6:$C$505=$C$5)*('Data Pengujian'!$F$6:$F$505=$B19)*('Data Pengujian'!$Q$6:$Q$505="SUCCESS")*('Data Pengujian'!$N$6:$N$505&lt;&gt;""))-1)))</f>
        <v/>
      </c>
      <c r="H19" s="29">
        <f t="array" ref="H19">IFERROR(MEDIAN(IF(('Data Pengujian'!$C$6:$C$505=$C$5)*('Data Pengujian'!$F$6:$F$505=$B19)*('Data Pengujian'!$Q$6:$Q$505="SUCCESS")*('Data Pengujian'!$N$6:$N$505&lt;&gt;""),'Data Pengujian'!$N$6:$N$505)),"")</f>
        <v/>
      </c>
      <c r="I19" s="29">
        <f t="array" ref="I19">IFERROR(PERCENTILE(IF(('Data Pengujian'!$C$6:$C$505=$C$5)*('Data Pengujian'!$F$6:$F$505=$B19)*('Data Pengujian'!$Q$6:$Q$505="SUCCESS")*('Data Pengujian'!$N$6:$N$505&lt;&gt;""),'Data Pengujian'!$N$6:$N$505),0.95),"")</f>
        <v/>
      </c>
      <c r="J19" s="29">
        <f t="array" ref="J19">IF(SUMPRODUCT(('Data Pengujian'!$C$6:$C$505=$C$5)*('Data Pengujian'!$F$6:$F$505=$B19)*('Data Pengujian'!$Q$6:$Q$505="SUCCESS")*('Data Pengujian'!$N$6:$N$505&lt;&gt;""))=0,"",MIN(IF(('Data Pengujian'!$C$6:$C$505=$C$5)*('Data Pengujian'!$F$6:$F$505=$B19)*('Data Pengujian'!$Q$6:$Q$505="SUCCESS")*('Data Pengujian'!$N$6:$N$505&lt;&gt;""),'Data Pengujian'!$N$6:$N$505)))</f>
        <v/>
      </c>
      <c r="K19" s="29">
        <f t="array" ref="K19">IF(SUMPRODUCT(('Data Pengujian'!$C$6:$C$505=$C$5)*('Data Pengujian'!$F$6:$F$505=$B19)*('Data Pengujian'!$Q$6:$Q$505="SUCCESS")*('Data Pengujian'!$N$6:$N$505&lt;&gt;""))=0,"",MAX(IF(('Data Pengujian'!$C$6:$C$505=$C$5)*('Data Pengujian'!$F$6:$F$505=$B19)*('Data Pengujian'!$Q$6:$Q$505="SUCCESS")*('Data Pengujian'!$N$6:$N$505&lt;&gt;""),'Data Pengujian'!$N$6:$N$505)))</f>
        <v/>
      </c>
      <c r="L19" s="29">
        <f>IFERROR(AVERAGEIFS('Data Pengujian'!$I$6:$I$505,'Data Pengujian'!$C$6:$C$505,$C$5,'Data Pengujian'!$F$6:$F$505,$B19,'Data Pengujian'!$Q$6:$Q$505,"SUCCESS"),"")</f>
        <v/>
      </c>
      <c r="M19" s="29">
        <f>IFERROR(AVERAGEIFS('Data Pengujian'!$J$6:$J$505,'Data Pengujian'!$C$6:$C$505,$C$5,'Data Pengujian'!$F$6:$F$505,$B19,'Data Pengujian'!$Q$6:$Q$505,"SUCCESS"),"")</f>
        <v/>
      </c>
      <c r="N19" s="29">
        <f>IFERROR(AVERAGEIFS('Data Pengujian'!$K$6:$K$505,'Data Pengujian'!$C$6:$C$505,$C$5,'Data Pengujian'!$F$6:$F$505,$B19,'Data Pengujian'!$Q$6:$Q$505,"SUCCESS"),"")</f>
        <v/>
      </c>
      <c r="O19" s="29">
        <f>IFERROR(AVERAGEIFS('Data Pengujian'!$L$6:$L$505,'Data Pengujian'!$C$6:$C$505,$C$5,'Data Pengujian'!$F$6:$F$505,$B19,'Data Pengujian'!$Q$6:$Q$505,"SUCCESS"),"")</f>
        <v/>
      </c>
      <c r="P19" s="29">
        <f>IFERROR(AVERAGEIFS('Data Pengujian'!$M$6:$M$505,'Data Pengujian'!$C$6:$C$505,$C$5,'Data Pengujian'!$F$6:$F$505,$B19,'Data Pengujian'!$Q$6:$Q$505,"SUCCESS"),"")</f>
        <v/>
      </c>
      <c r="Q19" s="29">
        <f>IFERROR(AVERAGEIFS('Data Pengujian'!$U$6:$U$505,'Data Pengujian'!$C$6:$C$505,$C$5,'Data Pengujian'!$F$6:$F$505,$B19,'Data Pengujian'!$Q$6:$Q$505,"SUCCESS"),"")</f>
        <v/>
      </c>
      <c r="R19" s="29">
        <f>IFERROR(AVERAGEIFS('Data Pengujian'!$O$6:$O$505,'Data Pengujian'!$C$6:$C$505,$C$5,'Data Pengujian'!$F$6:$F$505,$B19,'Data Pengujian'!$Q$6:$Q$505,"SUCCESS"),"")</f>
        <v/>
      </c>
      <c r="S19" s="29">
        <f>IFERROR(AVERAGEIFS('Data Pengujian'!$W$6:$W$505,'Data Pengujian'!$C$6:$C$505,$C$5,'Data Pengujian'!$F$6:$F$505,$B19,'Data Pengujian'!$Q$6:$Q$505,"SUCCESS"),"")</f>
        <v/>
      </c>
      <c r="T19" s="29">
        <f>IFERROR(SUMPRODUCT(('Data Pengujian'!$C$6:$C$505=$C$5)*('Data Pengujian'!$F$6:$F$505=$B19)*('Data Pengujian'!$Q$6:$Q$505&lt;&gt;"")*'Data Pengujian'!$P$6:$P$505)/SUMPRODUCT(('Data Pengujian'!$C$6:$C$505=$C$5)*('Data Pengujian'!$F$6:$F$505=$B19)*('Data Pengujian'!$Q$6:$Q$505&lt;&gt;"")*('Data Pengujian'!$P$6:$P$505&lt;&gt;"")),"")</f>
        <v/>
      </c>
    </row>
    <row r="20">
      <c r="B20" s="32" t="n">
        <v>5</v>
      </c>
      <c r="C20" s="28">
        <f>SUMPRODUCT(('Data Pengujian'!$C$6:$C$505=$C$5)*('Data Pengujian'!$F$6:$F$505=$B20)*('Data Pengujian'!$Q$6:$Q$505&lt;&gt;""))</f>
        <v/>
      </c>
      <c r="D20" s="28">
        <f>COUNTIFS('Data Pengujian'!$C$6:$C$505,$C$5,'Data Pengujian'!$F$6:$F$505,$B20,'Data Pengujian'!$Q$6:$Q$505,"SUCCESS")</f>
        <v/>
      </c>
      <c r="E20" s="30">
        <f>IF(C20=0,"",1-D20/C20)</f>
        <v/>
      </c>
      <c r="F20" s="29">
        <f>IFERROR(AVERAGEIFS('Data Pengujian'!$N$6:$N$505,'Data Pengujian'!$C$6:$C$505,$C$5,'Data Pengujian'!$F$6:$F$505,$B20,'Data Pengujian'!$Q$6:$Q$505,"SUCCESS"),"")</f>
        <v/>
      </c>
      <c r="G20" s="29">
        <f>IF(SUMPRODUCT(('Data Pengujian'!$C$6:$C$505=$C$5)*('Data Pengujian'!$F$6:$F$505=$B20)*('Data Pengujian'!$Q$6:$Q$505="SUCCESS")*('Data Pengujian'!$N$6:$N$505&lt;&gt;""))&lt;2,"",SQRT(SUMPRODUCT(('Data Pengujian'!$C$6:$C$505=$C$5)*('Data Pengujian'!$F$6:$F$505=$B20)*('Data Pengujian'!$Q$6:$Q$505="SUCCESS")*('Data Pengujian'!$N$6:$N$505&lt;&gt;"")*('Data Pengujian'!$N$6:$N$505-F20)^2)/(SUMPRODUCT(('Data Pengujian'!$C$6:$C$505=$C$5)*('Data Pengujian'!$F$6:$F$505=$B20)*('Data Pengujian'!$Q$6:$Q$505="SUCCESS")*('Data Pengujian'!$N$6:$N$505&lt;&gt;""))-1)))</f>
        <v/>
      </c>
      <c r="H20" s="29">
        <f t="array" ref="H20">IFERROR(MEDIAN(IF(('Data Pengujian'!$C$6:$C$505=$C$5)*('Data Pengujian'!$F$6:$F$505=$B20)*('Data Pengujian'!$Q$6:$Q$505="SUCCESS")*('Data Pengujian'!$N$6:$N$505&lt;&gt;""),'Data Pengujian'!$N$6:$N$505)),"")</f>
        <v/>
      </c>
      <c r="I20" s="29">
        <f t="array" ref="I20">IFERROR(PERCENTILE(IF(('Data Pengujian'!$C$6:$C$505=$C$5)*('Data Pengujian'!$F$6:$F$505=$B20)*('Data Pengujian'!$Q$6:$Q$505="SUCCESS")*('Data Pengujian'!$N$6:$N$505&lt;&gt;""),'Data Pengujian'!$N$6:$N$505),0.95),"")</f>
        <v/>
      </c>
      <c r="J20" s="29">
        <f t="array" ref="J20">IF(SUMPRODUCT(('Data Pengujian'!$C$6:$C$505=$C$5)*('Data Pengujian'!$F$6:$F$505=$B20)*('Data Pengujian'!$Q$6:$Q$505="SUCCESS")*('Data Pengujian'!$N$6:$N$505&lt;&gt;""))=0,"",MIN(IF(('Data Pengujian'!$C$6:$C$505=$C$5)*('Data Pengujian'!$F$6:$F$505=$B20)*('Data Pengujian'!$Q$6:$Q$505="SUCCESS")*('Data Pengujian'!$N$6:$N$505&lt;&gt;""),'Data Pengujian'!$N$6:$N$505)))</f>
        <v/>
      </c>
      <c r="K20" s="29">
        <f t="array" ref="K20">IF(SUMPRODUCT(('Data Pengujian'!$C$6:$C$505=$C$5)*('Data Pengujian'!$F$6:$F$505=$B20)*('Data Pengujian'!$Q$6:$Q$505="SUCCESS")*('Data Pengujian'!$N$6:$N$505&lt;&gt;""))=0,"",MAX(IF(('Data Pengujian'!$C$6:$C$505=$C$5)*('Data Pengujian'!$F$6:$F$505=$B20)*('Data Pengujian'!$Q$6:$Q$505="SUCCESS")*('Data Pengujian'!$N$6:$N$505&lt;&gt;""),'Data Pengujian'!$N$6:$N$505)))</f>
        <v/>
      </c>
      <c r="L20" s="29">
        <f>IFERROR(AVERAGEIFS('Data Pengujian'!$I$6:$I$505,'Data Pengujian'!$C$6:$C$505,$C$5,'Data Pengujian'!$F$6:$F$505,$B20,'Data Pengujian'!$Q$6:$Q$505,"SUCCESS"),"")</f>
        <v/>
      </c>
      <c r="M20" s="29">
        <f>IFERROR(AVERAGEIFS('Data Pengujian'!$J$6:$J$505,'Data Pengujian'!$C$6:$C$505,$C$5,'Data Pengujian'!$F$6:$F$505,$B20,'Data Pengujian'!$Q$6:$Q$505,"SUCCESS"),"")</f>
        <v/>
      </c>
      <c r="N20" s="29">
        <f>IFERROR(AVERAGEIFS('Data Pengujian'!$K$6:$K$505,'Data Pengujian'!$C$6:$C$505,$C$5,'Data Pengujian'!$F$6:$F$505,$B20,'Data Pengujian'!$Q$6:$Q$505,"SUCCESS"),"")</f>
        <v/>
      </c>
      <c r="O20" s="29">
        <f>IFERROR(AVERAGEIFS('Data Pengujian'!$L$6:$L$505,'Data Pengujian'!$C$6:$C$505,$C$5,'Data Pengujian'!$F$6:$F$505,$B20,'Data Pengujian'!$Q$6:$Q$505,"SUCCESS"),"")</f>
        <v/>
      </c>
      <c r="P20" s="29">
        <f>IFERROR(AVERAGEIFS('Data Pengujian'!$M$6:$M$505,'Data Pengujian'!$C$6:$C$505,$C$5,'Data Pengujian'!$F$6:$F$505,$B20,'Data Pengujian'!$Q$6:$Q$505,"SUCCESS"),"")</f>
        <v/>
      </c>
      <c r="Q20" s="29">
        <f>IFERROR(AVERAGEIFS('Data Pengujian'!$U$6:$U$505,'Data Pengujian'!$C$6:$C$505,$C$5,'Data Pengujian'!$F$6:$F$505,$B20,'Data Pengujian'!$Q$6:$Q$505,"SUCCESS"),"")</f>
        <v/>
      </c>
      <c r="R20" s="29">
        <f>IFERROR(AVERAGEIFS('Data Pengujian'!$O$6:$O$505,'Data Pengujian'!$C$6:$C$505,$C$5,'Data Pengujian'!$F$6:$F$505,$B20,'Data Pengujian'!$Q$6:$Q$505,"SUCCESS"),"")</f>
        <v/>
      </c>
      <c r="S20" s="29">
        <f>IFERROR(AVERAGEIFS('Data Pengujian'!$W$6:$W$505,'Data Pengujian'!$C$6:$C$505,$C$5,'Data Pengujian'!$F$6:$F$505,$B20,'Data Pengujian'!$Q$6:$Q$505,"SUCCESS"),"")</f>
        <v/>
      </c>
      <c r="T20" s="29">
        <f>IFERROR(SUMPRODUCT(('Data Pengujian'!$C$6:$C$505=$C$5)*('Data Pengujian'!$F$6:$F$505=$B20)*('Data Pengujian'!$Q$6:$Q$505&lt;&gt;"")*'Data Pengujian'!$P$6:$P$505)/SUMPRODUCT(('Data Pengujian'!$C$6:$C$505=$C$5)*('Data Pengujian'!$F$6:$F$505=$B20)*('Data Pengujian'!$Q$6:$Q$505&lt;&gt;"")*('Data Pengujian'!$P$6:$P$505&lt;&gt;"")),"")</f>
        <v/>
      </c>
    </row>
    <row r="21">
      <c r="B21" s="32" t="n">
        <v>8</v>
      </c>
      <c r="C21" s="28">
        <f>SUMPRODUCT(('Data Pengujian'!$C$6:$C$505=$C$5)*('Data Pengujian'!$F$6:$F$505=$B21)*('Data Pengujian'!$Q$6:$Q$505&lt;&gt;""))</f>
        <v/>
      </c>
      <c r="D21" s="28">
        <f>COUNTIFS('Data Pengujian'!$C$6:$C$505,$C$5,'Data Pengujian'!$F$6:$F$505,$B21,'Data Pengujian'!$Q$6:$Q$505,"SUCCESS")</f>
        <v/>
      </c>
      <c r="E21" s="30">
        <f>IF(C21=0,"",1-D21/C21)</f>
        <v/>
      </c>
      <c r="F21" s="29">
        <f>IFERROR(AVERAGEIFS('Data Pengujian'!$N$6:$N$505,'Data Pengujian'!$C$6:$C$505,$C$5,'Data Pengujian'!$F$6:$F$505,$B21,'Data Pengujian'!$Q$6:$Q$505,"SUCCESS"),"")</f>
        <v/>
      </c>
      <c r="G21" s="29">
        <f>IF(SUMPRODUCT(('Data Pengujian'!$C$6:$C$505=$C$5)*('Data Pengujian'!$F$6:$F$505=$B21)*('Data Pengujian'!$Q$6:$Q$505="SUCCESS")*('Data Pengujian'!$N$6:$N$505&lt;&gt;""))&lt;2,"",SQRT(SUMPRODUCT(('Data Pengujian'!$C$6:$C$505=$C$5)*('Data Pengujian'!$F$6:$F$505=$B21)*('Data Pengujian'!$Q$6:$Q$505="SUCCESS")*('Data Pengujian'!$N$6:$N$505&lt;&gt;"")*('Data Pengujian'!$N$6:$N$505-F21)^2)/(SUMPRODUCT(('Data Pengujian'!$C$6:$C$505=$C$5)*('Data Pengujian'!$F$6:$F$505=$B21)*('Data Pengujian'!$Q$6:$Q$505="SUCCESS")*('Data Pengujian'!$N$6:$N$505&lt;&gt;""))-1)))</f>
        <v/>
      </c>
      <c r="H21" s="29">
        <f t="array" ref="H21">IFERROR(MEDIAN(IF(('Data Pengujian'!$C$6:$C$505=$C$5)*('Data Pengujian'!$F$6:$F$505=$B21)*('Data Pengujian'!$Q$6:$Q$505="SUCCESS")*('Data Pengujian'!$N$6:$N$505&lt;&gt;""),'Data Pengujian'!$N$6:$N$505)),"")</f>
        <v/>
      </c>
      <c r="I21" s="29">
        <f t="array" ref="I21">IFERROR(PERCENTILE(IF(('Data Pengujian'!$C$6:$C$505=$C$5)*('Data Pengujian'!$F$6:$F$505=$B21)*('Data Pengujian'!$Q$6:$Q$505="SUCCESS")*('Data Pengujian'!$N$6:$N$505&lt;&gt;""),'Data Pengujian'!$N$6:$N$505),0.95),"")</f>
        <v/>
      </c>
      <c r="J21" s="29">
        <f t="array" ref="J21">IF(SUMPRODUCT(('Data Pengujian'!$C$6:$C$505=$C$5)*('Data Pengujian'!$F$6:$F$505=$B21)*('Data Pengujian'!$Q$6:$Q$505="SUCCESS")*('Data Pengujian'!$N$6:$N$505&lt;&gt;""))=0,"",MIN(IF(('Data Pengujian'!$C$6:$C$505=$C$5)*('Data Pengujian'!$F$6:$F$505=$B21)*('Data Pengujian'!$Q$6:$Q$505="SUCCESS")*('Data Pengujian'!$N$6:$N$505&lt;&gt;""),'Data Pengujian'!$N$6:$N$505)))</f>
        <v/>
      </c>
      <c r="K21" s="29">
        <f t="array" ref="K21">IF(SUMPRODUCT(('Data Pengujian'!$C$6:$C$505=$C$5)*('Data Pengujian'!$F$6:$F$505=$B21)*('Data Pengujian'!$Q$6:$Q$505="SUCCESS")*('Data Pengujian'!$N$6:$N$505&lt;&gt;""))=0,"",MAX(IF(('Data Pengujian'!$C$6:$C$505=$C$5)*('Data Pengujian'!$F$6:$F$505=$B21)*('Data Pengujian'!$Q$6:$Q$505="SUCCESS")*('Data Pengujian'!$N$6:$N$505&lt;&gt;""),'Data Pengujian'!$N$6:$N$505)))</f>
        <v/>
      </c>
      <c r="L21" s="29">
        <f>IFERROR(AVERAGEIFS('Data Pengujian'!$I$6:$I$505,'Data Pengujian'!$C$6:$C$505,$C$5,'Data Pengujian'!$F$6:$F$505,$B21,'Data Pengujian'!$Q$6:$Q$505,"SUCCESS"),"")</f>
        <v/>
      </c>
      <c r="M21" s="29">
        <f>IFERROR(AVERAGEIFS('Data Pengujian'!$J$6:$J$505,'Data Pengujian'!$C$6:$C$505,$C$5,'Data Pengujian'!$F$6:$F$505,$B21,'Data Pengujian'!$Q$6:$Q$505,"SUCCESS"),"")</f>
        <v/>
      </c>
      <c r="N21" s="29">
        <f>IFERROR(AVERAGEIFS('Data Pengujian'!$K$6:$K$505,'Data Pengujian'!$C$6:$C$505,$C$5,'Data Pengujian'!$F$6:$F$505,$B21,'Data Pengujian'!$Q$6:$Q$505,"SUCCESS"),"")</f>
        <v/>
      </c>
      <c r="O21" s="29">
        <f>IFERROR(AVERAGEIFS('Data Pengujian'!$L$6:$L$505,'Data Pengujian'!$C$6:$C$505,$C$5,'Data Pengujian'!$F$6:$F$505,$B21,'Data Pengujian'!$Q$6:$Q$505,"SUCCESS"),"")</f>
        <v/>
      </c>
      <c r="P21" s="29">
        <f>IFERROR(AVERAGEIFS('Data Pengujian'!$M$6:$M$505,'Data Pengujian'!$C$6:$C$505,$C$5,'Data Pengujian'!$F$6:$F$505,$B21,'Data Pengujian'!$Q$6:$Q$505,"SUCCESS"),"")</f>
        <v/>
      </c>
      <c r="Q21" s="29">
        <f>IFERROR(AVERAGEIFS('Data Pengujian'!$U$6:$U$505,'Data Pengujian'!$C$6:$C$505,$C$5,'Data Pengujian'!$F$6:$F$505,$B21,'Data Pengujian'!$Q$6:$Q$505,"SUCCESS"),"")</f>
        <v/>
      </c>
      <c r="R21" s="29">
        <f>IFERROR(AVERAGEIFS('Data Pengujian'!$O$6:$O$505,'Data Pengujian'!$C$6:$C$505,$C$5,'Data Pengujian'!$F$6:$F$505,$B21,'Data Pengujian'!$Q$6:$Q$505,"SUCCESS"),"")</f>
        <v/>
      </c>
      <c r="S21" s="29">
        <f>IFERROR(AVERAGEIFS('Data Pengujian'!$W$6:$W$505,'Data Pengujian'!$C$6:$C$505,$C$5,'Data Pengujian'!$F$6:$F$505,$B21,'Data Pengujian'!$Q$6:$Q$505,"SUCCESS"),"")</f>
        <v/>
      </c>
      <c r="T21" s="29">
        <f>IFERROR(SUMPRODUCT(('Data Pengujian'!$C$6:$C$505=$C$5)*('Data Pengujian'!$F$6:$F$505=$B21)*('Data Pengujian'!$Q$6:$Q$505&lt;&gt;"")*'Data Pengujian'!$P$6:$P$505)/SUMPRODUCT(('Data Pengujian'!$C$6:$C$505=$C$5)*('Data Pengujian'!$F$6:$F$505=$B21)*('Data Pengujian'!$Q$6:$Q$505&lt;&gt;"")*('Data Pengujian'!$P$6:$P$505&lt;&gt;"")),"")</f>
        <v/>
      </c>
    </row>
    <row r="22">
      <c r="B22" s="20" t="inlineStr">
        <is>
          <t>Semua</t>
        </is>
      </c>
      <c r="C22" s="33">
        <f>SUMPRODUCT(('Data Pengujian'!$C$6:$C$505=$C$5)*('Data Pengujian'!$Q$6:$Q$505&lt;&gt;""))</f>
        <v/>
      </c>
      <c r="D22" s="33">
        <f>COUNTIFS('Data Pengujian'!$C$6:$C$505,$C$5,'Data Pengujian'!$Q$6:$Q$505,"SUCCESS")</f>
        <v/>
      </c>
      <c r="E22" s="34">
        <f>IF(C22=0,"",1-D22/C22)</f>
        <v/>
      </c>
      <c r="F22" s="35">
        <f>IFERROR(AVERAGEIFS('Data Pengujian'!$N$6:$N$505,'Data Pengujian'!$C$6:$C$505,$C$5,'Data Pengujian'!$Q$6:$Q$505,"SUCCESS"),"")</f>
        <v/>
      </c>
      <c r="G22" s="35">
        <f>IF(SUMPRODUCT(('Data Pengujian'!$C$6:$C$505=$C$5)*('Data Pengujian'!$Q$6:$Q$505="SUCCESS")*('Data Pengujian'!$N$6:$N$505&lt;&gt;""))&lt;2,"",SQRT(SUMPRODUCT(('Data Pengujian'!$C$6:$C$505=$C$5)*('Data Pengujian'!$Q$6:$Q$505="SUCCESS")*('Data Pengujian'!$N$6:$N$505&lt;&gt;"")*('Data Pengujian'!$N$6:$N$505-F22)^2)/(SUMPRODUCT(('Data Pengujian'!$C$6:$C$505=$C$5)*('Data Pengujian'!$Q$6:$Q$505="SUCCESS")*('Data Pengujian'!$N$6:$N$505&lt;&gt;""))-1)))</f>
        <v/>
      </c>
      <c r="H22" s="35">
        <f t="array" ref="H22">IFERROR(MEDIAN(IF(('Data Pengujian'!$C$6:$C$505=$C$5)*('Data Pengujian'!$Q$6:$Q$505="SUCCESS")*('Data Pengujian'!$N$6:$N$505&lt;&gt;""),'Data Pengujian'!$N$6:$N$505)),"")</f>
        <v/>
      </c>
      <c r="I22" s="35">
        <f t="array" ref="I22">IFERROR(PERCENTILE(IF(('Data Pengujian'!$C$6:$C$505=$C$5)*('Data Pengujian'!$Q$6:$Q$505="SUCCESS")*('Data Pengujian'!$N$6:$N$505&lt;&gt;""),'Data Pengujian'!$N$6:$N$505),0.95),"")</f>
        <v/>
      </c>
      <c r="J22" s="35">
        <f t="array" ref="J22">IF(SUMPRODUCT(('Data Pengujian'!$C$6:$C$505=$C$5)*('Data Pengujian'!$Q$6:$Q$505="SUCCESS")*('Data Pengujian'!$N$6:$N$505&lt;&gt;""))=0,"",MIN(IF(('Data Pengujian'!$C$6:$C$505=$C$5)*('Data Pengujian'!$Q$6:$Q$505="SUCCESS")*('Data Pengujian'!$N$6:$N$505&lt;&gt;""),'Data Pengujian'!$N$6:$N$505)))</f>
        <v/>
      </c>
      <c r="K22" s="35">
        <f t="array" ref="K22">IF(SUMPRODUCT(('Data Pengujian'!$C$6:$C$505=$C$5)*('Data Pengujian'!$Q$6:$Q$505="SUCCESS")*('Data Pengujian'!$N$6:$N$505&lt;&gt;""))=0,"",MAX(IF(('Data Pengujian'!$C$6:$C$505=$C$5)*('Data Pengujian'!$Q$6:$Q$505="SUCCESS")*('Data Pengujian'!$N$6:$N$505&lt;&gt;""),'Data Pengujian'!$N$6:$N$505)))</f>
        <v/>
      </c>
      <c r="L22" s="35">
        <f>IFERROR(AVERAGEIFS('Data Pengujian'!$I$6:$I$505,'Data Pengujian'!$C$6:$C$505,$C$5,'Data Pengujian'!$Q$6:$Q$505,"SUCCESS"),"")</f>
        <v/>
      </c>
      <c r="M22" s="35">
        <f>IFERROR(AVERAGEIFS('Data Pengujian'!$J$6:$J$505,'Data Pengujian'!$C$6:$C$505,$C$5,'Data Pengujian'!$Q$6:$Q$505,"SUCCESS"),"")</f>
        <v/>
      </c>
      <c r="N22" s="35">
        <f>IFERROR(AVERAGEIFS('Data Pengujian'!$K$6:$K$505,'Data Pengujian'!$C$6:$C$505,$C$5,'Data Pengujian'!$Q$6:$Q$505,"SUCCESS"),"")</f>
        <v/>
      </c>
      <c r="O22" s="35">
        <f>IFERROR(AVERAGEIFS('Data Pengujian'!$L$6:$L$505,'Data Pengujian'!$C$6:$C$505,$C$5,'Data Pengujian'!$Q$6:$Q$505,"SUCCESS"),"")</f>
        <v/>
      </c>
      <c r="P22" s="35">
        <f>IFERROR(AVERAGEIFS('Data Pengujian'!$M$6:$M$505,'Data Pengujian'!$C$6:$C$505,$C$5,'Data Pengujian'!$Q$6:$Q$505,"SUCCESS"),"")</f>
        <v/>
      </c>
      <c r="Q22" s="35">
        <f>IFERROR(AVERAGEIFS('Data Pengujian'!$U$6:$U$505,'Data Pengujian'!$C$6:$C$505,$C$5,'Data Pengujian'!$Q$6:$Q$505,"SUCCESS"),"")</f>
        <v/>
      </c>
      <c r="R22" s="35">
        <f>IFERROR(AVERAGEIFS('Data Pengujian'!$O$6:$O$505,'Data Pengujian'!$C$6:$C$505,$C$5,'Data Pengujian'!$Q$6:$Q$505,"SUCCESS"),"")</f>
        <v/>
      </c>
      <c r="S22" s="35">
        <f>IFERROR(AVERAGEIFS('Data Pengujian'!$W$6:$W$505,'Data Pengujian'!$C$6:$C$505,$C$5,'Data Pengujian'!$Q$6:$Q$505,"SUCCESS"),"")</f>
        <v/>
      </c>
      <c r="T22" s="35">
        <f>IFERROR(SUMPRODUCT(('Data Pengujian'!$C$6:$C$505=$C$5)*('Data Pengujian'!$Q$6:$Q$505&lt;&gt;"")*'Data Pengujian'!$P$6:$P$505)/SUMPRODUCT(('Data Pengujian'!$C$6:$C$505=$C$5)*('Data Pengujian'!$Q$6:$Q$505&lt;&gt;"")*('Data Pengujian'!$P$6:$P$505&lt;&gt;"")),"")</f>
        <v/>
      </c>
    </row>
    <row r="25">
      <c r="B25" s="3">
        <f>"Perbandingan: "&amp;$C$4&amp;" vs "&amp;$C$5</f>
        <v/>
      </c>
    </row>
    <row r="26" ht="58" customHeight="1">
      <c r="B26" s="10" t="inlineStr">
        <is>
          <t>Durasi Target (mnt)</t>
        </is>
      </c>
      <c r="C26" s="10" t="inlineStr">
        <is>
          <t>Rata-rata Total A (dtk)</t>
        </is>
      </c>
      <c r="D26" s="10" t="inlineStr">
        <is>
          <t>Rata-rata Total B (dtk)</t>
        </is>
      </c>
      <c r="E26" s="10" t="inlineStr">
        <is>
          <t>Selisih B − A (dtk)</t>
        </is>
      </c>
      <c r="F26" s="10" t="inlineStr">
        <is>
          <t>Perubahan (%)</t>
        </is>
      </c>
      <c r="G26" s="10" t="inlineStr">
        <is>
          <t>Median A (dtk)</t>
        </is>
      </c>
      <c r="H26" s="10" t="inlineStr">
        <is>
          <t>Median B (dtk)</t>
        </is>
      </c>
      <c r="I26" s="10" t="inlineStr">
        <is>
          <t>Tingkat Gagal A</t>
        </is>
      </c>
      <c r="J26" s="10" t="inlineStr">
        <is>
          <t>Tingkat Gagal B</t>
        </is>
      </c>
      <c r="K26" s="10" t="inlineStr">
        <is>
          <t>Total Dirasakan User A (dtk)</t>
        </is>
      </c>
      <c r="L26" s="10" t="inlineStr">
        <is>
          <t>Total Dirasakan User B (dtk)</t>
        </is>
      </c>
      <c r="M26" s="10" t="inlineStr">
        <is>
          <t>Perubahan User (%)</t>
        </is>
      </c>
    </row>
    <row r="27">
      <c r="B27" s="28">
        <f>B9</f>
        <v/>
      </c>
      <c r="C27" s="29">
        <f>F9</f>
        <v/>
      </c>
      <c r="D27" s="29">
        <f>F18</f>
        <v/>
      </c>
      <c r="E27" s="29">
        <f>IF(OR(C27="",D27=""),"",D27-C27)</f>
        <v/>
      </c>
      <c r="F27" s="30">
        <f>IF(OR(C27="",D27="",C27=0),"",(D27-C27)/C27)</f>
        <v/>
      </c>
      <c r="G27" s="29">
        <f>H9</f>
        <v/>
      </c>
      <c r="H27" s="29">
        <f>H18</f>
        <v/>
      </c>
      <c r="I27" s="30">
        <f>E9</f>
        <v/>
      </c>
      <c r="J27" s="30">
        <f>E18</f>
        <v/>
      </c>
      <c r="K27" s="29">
        <f>R9</f>
        <v/>
      </c>
      <c r="L27" s="29">
        <f>R18</f>
        <v/>
      </c>
      <c r="M27" s="30">
        <f>IF(OR(K27="",L27="",K27=0),"",(L27-K27)/K27)</f>
        <v/>
      </c>
    </row>
    <row r="28">
      <c r="B28" s="28">
        <f>B10</f>
        <v/>
      </c>
      <c r="C28" s="29">
        <f>F10</f>
        <v/>
      </c>
      <c r="D28" s="29">
        <f>F19</f>
        <v/>
      </c>
      <c r="E28" s="29">
        <f>IF(OR(C28="",D28=""),"",D28-C28)</f>
        <v/>
      </c>
      <c r="F28" s="30">
        <f>IF(OR(C28="",D28="",C28=0),"",(D28-C28)/C28)</f>
        <v/>
      </c>
      <c r="G28" s="29">
        <f>H10</f>
        <v/>
      </c>
      <c r="H28" s="29">
        <f>H19</f>
        <v/>
      </c>
      <c r="I28" s="30">
        <f>E10</f>
        <v/>
      </c>
      <c r="J28" s="30">
        <f>E19</f>
        <v/>
      </c>
      <c r="K28" s="29">
        <f>R10</f>
        <v/>
      </c>
      <c r="L28" s="29">
        <f>R19</f>
        <v/>
      </c>
      <c r="M28" s="30">
        <f>IF(OR(K28="",L28="",K28=0),"",(L28-K28)/K28)</f>
        <v/>
      </c>
    </row>
    <row r="29">
      <c r="B29" s="28">
        <f>B11</f>
        <v/>
      </c>
      <c r="C29" s="29">
        <f>F11</f>
        <v/>
      </c>
      <c r="D29" s="29">
        <f>F20</f>
        <v/>
      </c>
      <c r="E29" s="29">
        <f>IF(OR(C29="",D29=""),"",D29-C29)</f>
        <v/>
      </c>
      <c r="F29" s="30">
        <f>IF(OR(C29="",D29="",C29=0),"",(D29-C29)/C29)</f>
        <v/>
      </c>
      <c r="G29" s="29">
        <f>H11</f>
        <v/>
      </c>
      <c r="H29" s="29">
        <f>H20</f>
        <v/>
      </c>
      <c r="I29" s="30">
        <f>E11</f>
        <v/>
      </c>
      <c r="J29" s="30">
        <f>E20</f>
        <v/>
      </c>
      <c r="K29" s="29">
        <f>R11</f>
        <v/>
      </c>
      <c r="L29" s="29">
        <f>R20</f>
        <v/>
      </c>
      <c r="M29" s="30">
        <f>IF(OR(K29="",L29="",K29=0),"",(L29-K29)/K29)</f>
        <v/>
      </c>
    </row>
    <row r="30">
      <c r="B30" s="28">
        <f>B12</f>
        <v/>
      </c>
      <c r="C30" s="29">
        <f>F12</f>
        <v/>
      </c>
      <c r="D30" s="29">
        <f>F21</f>
        <v/>
      </c>
      <c r="E30" s="29">
        <f>IF(OR(C30="",D30=""),"",D30-C30)</f>
        <v/>
      </c>
      <c r="F30" s="30">
        <f>IF(OR(C30="",D30="",C30=0),"",(D30-C30)/C30)</f>
        <v/>
      </c>
      <c r="G30" s="29">
        <f>H12</f>
        <v/>
      </c>
      <c r="H30" s="29">
        <f>H21</f>
        <v/>
      </c>
      <c r="I30" s="30">
        <f>E12</f>
        <v/>
      </c>
      <c r="J30" s="30">
        <f>E21</f>
        <v/>
      </c>
      <c r="K30" s="29">
        <f>R12</f>
        <v/>
      </c>
      <c r="L30" s="29">
        <f>R21</f>
        <v/>
      </c>
      <c r="M30" s="30">
        <f>IF(OR(K30="",L30="",K30=0),"",(L30-K30)/K30)</f>
        <v/>
      </c>
    </row>
    <row r="31">
      <c r="B31" s="33">
        <f>B13</f>
        <v/>
      </c>
      <c r="C31" s="35">
        <f>F13</f>
        <v/>
      </c>
      <c r="D31" s="35">
        <f>F22</f>
        <v/>
      </c>
      <c r="E31" s="35">
        <f>IF(OR(C31="",D31=""),"",D31-C31)</f>
        <v/>
      </c>
      <c r="F31" s="34">
        <f>IF(OR(C31="",D31="",C31=0),"",(D31-C31)/C31)</f>
        <v/>
      </c>
      <c r="G31" s="35">
        <f>H13</f>
        <v/>
      </c>
      <c r="H31" s="35">
        <f>H22</f>
        <v/>
      </c>
      <c r="I31" s="34">
        <f>E13</f>
        <v/>
      </c>
      <c r="J31" s="34">
        <f>E22</f>
        <v/>
      </c>
      <c r="K31" s="35">
        <f>R13</f>
        <v/>
      </c>
      <c r="L31" s="35">
        <f>R22</f>
        <v/>
      </c>
      <c r="M31" s="34">
        <f>IF(OR(K31="",L31="",K31=0),"",(L31-K31)/K31)</f>
        <v/>
      </c>
    </row>
    <row r="34">
      <c r="B34" s="2" t="inlineStr">
        <is>
          <t>Perubahan negatif = pipeline B lebih cepat dari A.</t>
        </is>
      </c>
    </row>
  </sheetData>
  <dataValidations count="1">
    <dataValidation sqref="C4:C5" showDropDown="0" showInputMessage="0" showErrorMessage="0" allowBlank="1" errorTitle="Nilai tidak ada di daftar" error="Nilai di luar daftar. Tambahkan dulu ke sheet 'Daftar Pilihan' bila ini label baru." type="list" errorStyle="warning">
      <formula1>'Daftar Pilihan'!$A$5:$A$24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Ringkasan Ketahanan per Fase</t>
        </is>
      </c>
    </row>
    <row r="2">
      <c r="A2" s="2" t="inlineStr">
        <is>
          <t>Menghitung semua baris yang Status Akhir-nya terisi. Label di kolom B (kuning) bisa diganti.</t>
        </is>
      </c>
    </row>
    <row r="4">
      <c r="B4" s="3" t="inlineStr">
        <is>
          <t>Tabel 1 — Hasil akhir per label</t>
        </is>
      </c>
    </row>
    <row r="5" ht="58" customHeight="1">
      <c r="B5" s="10" t="inlineStr">
        <is>
          <t>Label Fase</t>
        </is>
      </c>
      <c r="C5" s="10" t="inlineStr">
        <is>
          <t>Mode</t>
        </is>
      </c>
      <c r="D5" s="10" t="inlineStr">
        <is>
          <t>n (diuji)</t>
        </is>
      </c>
      <c r="E5" s="10" t="inlineStr">
        <is>
          <t>SUCCESS</t>
        </is>
      </c>
      <c r="F5" s="10" t="inlineStr">
        <is>
          <t>SILENT_FAILURE</t>
        </is>
      </c>
      <c r="G5" s="10" t="inlineStr">
        <is>
          <t>FAILED</t>
        </is>
      </c>
      <c r="H5" s="10" t="inlineStr">
        <is>
          <t>TIMEOUT</t>
        </is>
      </c>
      <c r="I5" s="10" t="inlineStr">
        <is>
          <t>STUCK</t>
        </is>
      </c>
      <c r="J5" s="10" t="inlineStr">
        <is>
          <t>Tingkat Sukses</t>
        </is>
      </c>
      <c r="K5" s="10" t="inlineStr">
        <is>
          <t>Tingkat Gagal</t>
        </is>
      </c>
      <c r="L5" s="10" t="inlineStr">
        <is>
          <t>Gagal Diam-diam (% dari n)</t>
        </is>
      </c>
      <c r="M5" s="10" t="inlineStr">
        <is>
          <t>Gagal Terdeteksi (% dari kegagalan)</t>
        </is>
      </c>
      <c r="N5" s="10" t="inlineStr">
        <is>
          <t>Rata-rata Percobaan generate</t>
        </is>
      </c>
    </row>
    <row r="6">
      <c r="B6" s="24" t="inlineStr">
        <is>
          <t>baseline</t>
        </is>
      </c>
      <c r="C6" s="36">
        <f>IF(B6="","",IFERROR(INDEX('Data Pengujian'!$D$6:$D$505,MATCH(B6,'Data Pengujian'!$C$6:$C$505,0)),""))</f>
        <v/>
      </c>
      <c r="D6" s="28">
        <f>IF(B6="","",SUMPRODUCT(('Data Pengujian'!$C$6:$C$505=B6)*('Data Pengujian'!$Q$6:$Q$505&lt;&gt;"")))</f>
        <v/>
      </c>
      <c r="E6" s="28">
        <f>IF(B6="","",COUNTIFS('Data Pengujian'!$C$6:$C$505,B6,'Data Pengujian'!$Q$6:$Q$505,"SUCCESS"))</f>
        <v/>
      </c>
      <c r="F6" s="28">
        <f>IF(B6="","",COUNTIFS('Data Pengujian'!$C$6:$C$505,B6,'Data Pengujian'!$Q$6:$Q$505,"SILENT_FAILURE"))</f>
        <v/>
      </c>
      <c r="G6" s="28">
        <f>IF(B6="","",COUNTIFS('Data Pengujian'!$C$6:$C$505,B6,'Data Pengujian'!$Q$6:$Q$505,"FAILED"))</f>
        <v/>
      </c>
      <c r="H6" s="28">
        <f>IF(B6="","",COUNTIFS('Data Pengujian'!$C$6:$C$505,B6,'Data Pengujian'!$Q$6:$Q$505,"TIMEOUT"))</f>
        <v/>
      </c>
      <c r="I6" s="28">
        <f>IF(B6="","",COUNTIFS('Data Pengujian'!$C$6:$C$505,B6,'Data Pengujian'!$Q$6:$Q$505,"STUCK"))</f>
        <v/>
      </c>
      <c r="J6" s="30">
        <f>IF(OR(B6="",D6=0),"",E6/D6)</f>
        <v/>
      </c>
      <c r="K6" s="30">
        <f>IF(J6="","",1-J6)</f>
        <v/>
      </c>
      <c r="L6" s="30">
        <f>IF(OR(B6="",D6=0),"",F6/D6)</f>
        <v/>
      </c>
      <c r="M6" s="30">
        <f>IF(OR(B6="",D6="",D6-E6=0),"",(G6+H6)/(D6-E6))</f>
        <v/>
      </c>
      <c r="N6" s="29">
        <f>IF(B6="","",IFERROR(SUMPRODUCT(('Data Pengujian'!$C$6:$C$505=B6)*('Data Pengujian'!$Q$6:$Q$505&lt;&gt;"")*'Data Pengujian'!$P$6:$P$505)/SUMPRODUCT(('Data Pengujian'!$C$6:$C$505=B6)*('Data Pengujian'!$Q$6:$Q$505&lt;&gt;"")*('Data Pengujian'!$P$6:$P$505&lt;&gt;"")),""))</f>
        <v/>
      </c>
    </row>
    <row r="7">
      <c r="B7" s="24" t="inlineStr">
        <is>
          <t>optimized</t>
        </is>
      </c>
      <c r="C7" s="36">
        <f>IF(B7="","",IFERROR(INDEX('Data Pengujian'!$D$6:$D$505,MATCH(B7,'Data Pengujian'!$C$6:$C$505,0)),""))</f>
        <v/>
      </c>
      <c r="D7" s="28">
        <f>IF(B7="","",SUMPRODUCT(('Data Pengujian'!$C$6:$C$505=B7)*('Data Pengujian'!$Q$6:$Q$505&lt;&gt;"")))</f>
        <v/>
      </c>
      <c r="E7" s="28">
        <f>IF(B7="","",COUNTIFS('Data Pengujian'!$C$6:$C$505,B7,'Data Pengujian'!$Q$6:$Q$505,"SUCCESS"))</f>
        <v/>
      </c>
      <c r="F7" s="28">
        <f>IF(B7="","",COUNTIFS('Data Pengujian'!$C$6:$C$505,B7,'Data Pengujian'!$Q$6:$Q$505,"SILENT_FAILURE"))</f>
        <v/>
      </c>
      <c r="G7" s="28">
        <f>IF(B7="","",COUNTIFS('Data Pengujian'!$C$6:$C$505,B7,'Data Pengujian'!$Q$6:$Q$505,"FAILED"))</f>
        <v/>
      </c>
      <c r="H7" s="28">
        <f>IF(B7="","",COUNTIFS('Data Pengujian'!$C$6:$C$505,B7,'Data Pengujian'!$Q$6:$Q$505,"TIMEOUT"))</f>
        <v/>
      </c>
      <c r="I7" s="28">
        <f>IF(B7="","",COUNTIFS('Data Pengujian'!$C$6:$C$505,B7,'Data Pengujian'!$Q$6:$Q$505,"STUCK"))</f>
        <v/>
      </c>
      <c r="J7" s="30">
        <f>IF(OR(B7="",D7=0),"",E7/D7)</f>
        <v/>
      </c>
      <c r="K7" s="30">
        <f>IF(J7="","",1-J7)</f>
        <v/>
      </c>
      <c r="L7" s="30">
        <f>IF(OR(B7="",D7=0),"",F7/D7)</f>
        <v/>
      </c>
      <c r="M7" s="30">
        <f>IF(OR(B7="",D7="",D7-E7=0),"",(G7+H7)/(D7-E7))</f>
        <v/>
      </c>
      <c r="N7" s="29">
        <f>IF(B7="","",IFERROR(SUMPRODUCT(('Data Pengujian'!$C$6:$C$505=B7)*('Data Pengujian'!$Q$6:$Q$505&lt;&gt;"")*'Data Pengujian'!$P$6:$P$505)/SUMPRODUCT(('Data Pengujian'!$C$6:$C$505=B7)*('Data Pengujian'!$Q$6:$Q$505&lt;&gt;"")*('Data Pengujian'!$P$6:$P$505&lt;&gt;"")),""))</f>
        <v/>
      </c>
    </row>
    <row r="8">
      <c r="B8" s="24" t="inlineStr">
        <is>
          <t>baseline-fault30</t>
        </is>
      </c>
      <c r="C8" s="36">
        <f>IF(B8="","",IFERROR(INDEX('Data Pengujian'!$D$6:$D$505,MATCH(B8,'Data Pengujian'!$C$6:$C$505,0)),""))</f>
        <v/>
      </c>
      <c r="D8" s="28">
        <f>IF(B8="","",SUMPRODUCT(('Data Pengujian'!$C$6:$C$505=B8)*('Data Pengujian'!$Q$6:$Q$505&lt;&gt;"")))</f>
        <v/>
      </c>
      <c r="E8" s="28">
        <f>IF(B8="","",COUNTIFS('Data Pengujian'!$C$6:$C$505,B8,'Data Pengujian'!$Q$6:$Q$505,"SUCCESS"))</f>
        <v/>
      </c>
      <c r="F8" s="28">
        <f>IF(B8="","",COUNTIFS('Data Pengujian'!$C$6:$C$505,B8,'Data Pengujian'!$Q$6:$Q$505,"SILENT_FAILURE"))</f>
        <v/>
      </c>
      <c r="G8" s="28">
        <f>IF(B8="","",COUNTIFS('Data Pengujian'!$C$6:$C$505,B8,'Data Pengujian'!$Q$6:$Q$505,"FAILED"))</f>
        <v/>
      </c>
      <c r="H8" s="28">
        <f>IF(B8="","",COUNTIFS('Data Pengujian'!$C$6:$C$505,B8,'Data Pengujian'!$Q$6:$Q$505,"TIMEOUT"))</f>
        <v/>
      </c>
      <c r="I8" s="28">
        <f>IF(B8="","",COUNTIFS('Data Pengujian'!$C$6:$C$505,B8,'Data Pengujian'!$Q$6:$Q$505,"STUCK"))</f>
        <v/>
      </c>
      <c r="J8" s="30">
        <f>IF(OR(B8="",D8=0),"",E8/D8)</f>
        <v/>
      </c>
      <c r="K8" s="30">
        <f>IF(J8="","",1-J8)</f>
        <v/>
      </c>
      <c r="L8" s="30">
        <f>IF(OR(B8="",D8=0),"",F8/D8)</f>
        <v/>
      </c>
      <c r="M8" s="30">
        <f>IF(OR(B8="",D8="",D8-E8=0),"",(G8+H8)/(D8-E8))</f>
        <v/>
      </c>
      <c r="N8" s="29">
        <f>IF(B8="","",IFERROR(SUMPRODUCT(('Data Pengujian'!$C$6:$C$505=B8)*('Data Pengujian'!$Q$6:$Q$505&lt;&gt;"")*'Data Pengujian'!$P$6:$P$505)/SUMPRODUCT(('Data Pengujian'!$C$6:$C$505=B8)*('Data Pengujian'!$Q$6:$Q$505&lt;&gt;"")*('Data Pengujian'!$P$6:$P$505&lt;&gt;"")),""))</f>
        <v/>
      </c>
    </row>
    <row r="9">
      <c r="B9" s="24" t="inlineStr">
        <is>
          <t>optimized-fault30</t>
        </is>
      </c>
      <c r="C9" s="36">
        <f>IF(B9="","",IFERROR(INDEX('Data Pengujian'!$D$6:$D$505,MATCH(B9,'Data Pengujian'!$C$6:$C$505,0)),""))</f>
        <v/>
      </c>
      <c r="D9" s="28">
        <f>IF(B9="","",SUMPRODUCT(('Data Pengujian'!$C$6:$C$505=B9)*('Data Pengujian'!$Q$6:$Q$505&lt;&gt;"")))</f>
        <v/>
      </c>
      <c r="E9" s="28">
        <f>IF(B9="","",COUNTIFS('Data Pengujian'!$C$6:$C$505,B9,'Data Pengujian'!$Q$6:$Q$505,"SUCCESS"))</f>
        <v/>
      </c>
      <c r="F9" s="28">
        <f>IF(B9="","",COUNTIFS('Data Pengujian'!$C$6:$C$505,B9,'Data Pengujian'!$Q$6:$Q$505,"SILENT_FAILURE"))</f>
        <v/>
      </c>
      <c r="G9" s="28">
        <f>IF(B9="","",COUNTIFS('Data Pengujian'!$C$6:$C$505,B9,'Data Pengujian'!$Q$6:$Q$505,"FAILED"))</f>
        <v/>
      </c>
      <c r="H9" s="28">
        <f>IF(B9="","",COUNTIFS('Data Pengujian'!$C$6:$C$505,B9,'Data Pengujian'!$Q$6:$Q$505,"TIMEOUT"))</f>
        <v/>
      </c>
      <c r="I9" s="28">
        <f>IF(B9="","",COUNTIFS('Data Pengujian'!$C$6:$C$505,B9,'Data Pengujian'!$Q$6:$Q$505,"STUCK"))</f>
        <v/>
      </c>
      <c r="J9" s="30">
        <f>IF(OR(B9="",D9=0),"",E9/D9)</f>
        <v/>
      </c>
      <c r="K9" s="30">
        <f>IF(J9="","",1-J9)</f>
        <v/>
      </c>
      <c r="L9" s="30">
        <f>IF(OR(B9="",D9=0),"",F9/D9)</f>
        <v/>
      </c>
      <c r="M9" s="30">
        <f>IF(OR(B9="",D9="",D9-E9=0),"",(G9+H9)/(D9-E9))</f>
        <v/>
      </c>
      <c r="N9" s="29">
        <f>IF(B9="","",IFERROR(SUMPRODUCT(('Data Pengujian'!$C$6:$C$505=B9)*('Data Pengujian'!$Q$6:$Q$505&lt;&gt;"")*'Data Pengujian'!$P$6:$P$505)/SUMPRODUCT(('Data Pengujian'!$C$6:$C$505=B9)*('Data Pengujian'!$Q$6:$Q$505&lt;&gt;"")*('Data Pengujian'!$P$6:$P$505&lt;&gt;"")),""))</f>
        <v/>
      </c>
    </row>
    <row r="10">
      <c r="B10" s="24" t="inlineStr">
        <is>
          <t>baseline-hang20</t>
        </is>
      </c>
      <c r="C10" s="36">
        <f>IF(B10="","",IFERROR(INDEX('Data Pengujian'!$D$6:$D$505,MATCH(B10,'Data Pengujian'!$C$6:$C$505,0)),""))</f>
        <v/>
      </c>
      <c r="D10" s="28">
        <f>IF(B10="","",SUMPRODUCT(('Data Pengujian'!$C$6:$C$505=B10)*('Data Pengujian'!$Q$6:$Q$505&lt;&gt;"")))</f>
        <v/>
      </c>
      <c r="E10" s="28">
        <f>IF(B10="","",COUNTIFS('Data Pengujian'!$C$6:$C$505,B10,'Data Pengujian'!$Q$6:$Q$505,"SUCCESS"))</f>
        <v/>
      </c>
      <c r="F10" s="28">
        <f>IF(B10="","",COUNTIFS('Data Pengujian'!$C$6:$C$505,B10,'Data Pengujian'!$Q$6:$Q$505,"SILENT_FAILURE"))</f>
        <v/>
      </c>
      <c r="G10" s="28">
        <f>IF(B10="","",COUNTIFS('Data Pengujian'!$C$6:$C$505,B10,'Data Pengujian'!$Q$6:$Q$505,"FAILED"))</f>
        <v/>
      </c>
      <c r="H10" s="28">
        <f>IF(B10="","",COUNTIFS('Data Pengujian'!$C$6:$C$505,B10,'Data Pengujian'!$Q$6:$Q$505,"TIMEOUT"))</f>
        <v/>
      </c>
      <c r="I10" s="28">
        <f>IF(B10="","",COUNTIFS('Data Pengujian'!$C$6:$C$505,B10,'Data Pengujian'!$Q$6:$Q$505,"STUCK"))</f>
        <v/>
      </c>
      <c r="J10" s="30">
        <f>IF(OR(B10="",D10=0),"",E10/D10)</f>
        <v/>
      </c>
      <c r="K10" s="30">
        <f>IF(J10="","",1-J10)</f>
        <v/>
      </c>
      <c r="L10" s="30">
        <f>IF(OR(B10="",D10=0),"",F10/D10)</f>
        <v/>
      </c>
      <c r="M10" s="30">
        <f>IF(OR(B10="",D10="",D10-E10=0),"",(G10+H10)/(D10-E10))</f>
        <v/>
      </c>
      <c r="N10" s="29">
        <f>IF(B10="","",IFERROR(SUMPRODUCT(('Data Pengujian'!$C$6:$C$505=B10)*('Data Pengujian'!$Q$6:$Q$505&lt;&gt;"")*'Data Pengujian'!$P$6:$P$505)/SUMPRODUCT(('Data Pengujian'!$C$6:$C$505=B10)*('Data Pengujian'!$Q$6:$Q$505&lt;&gt;"")*('Data Pengujian'!$P$6:$P$505&lt;&gt;"")),""))</f>
        <v/>
      </c>
    </row>
    <row r="11">
      <c r="B11" s="24" t="inlineStr">
        <is>
          <t>optimized-hang20</t>
        </is>
      </c>
      <c r="C11" s="36">
        <f>IF(B11="","",IFERROR(INDEX('Data Pengujian'!$D$6:$D$505,MATCH(B11,'Data Pengujian'!$C$6:$C$505,0)),""))</f>
        <v/>
      </c>
      <c r="D11" s="28">
        <f>IF(B11="","",SUMPRODUCT(('Data Pengujian'!$C$6:$C$505=B11)*('Data Pengujian'!$Q$6:$Q$505&lt;&gt;"")))</f>
        <v/>
      </c>
      <c r="E11" s="28">
        <f>IF(B11="","",COUNTIFS('Data Pengujian'!$C$6:$C$505,B11,'Data Pengujian'!$Q$6:$Q$505,"SUCCESS"))</f>
        <v/>
      </c>
      <c r="F11" s="28">
        <f>IF(B11="","",COUNTIFS('Data Pengujian'!$C$6:$C$505,B11,'Data Pengujian'!$Q$6:$Q$505,"SILENT_FAILURE"))</f>
        <v/>
      </c>
      <c r="G11" s="28">
        <f>IF(B11="","",COUNTIFS('Data Pengujian'!$C$6:$C$505,B11,'Data Pengujian'!$Q$6:$Q$505,"FAILED"))</f>
        <v/>
      </c>
      <c r="H11" s="28">
        <f>IF(B11="","",COUNTIFS('Data Pengujian'!$C$6:$C$505,B11,'Data Pengujian'!$Q$6:$Q$505,"TIMEOUT"))</f>
        <v/>
      </c>
      <c r="I11" s="28">
        <f>IF(B11="","",COUNTIFS('Data Pengujian'!$C$6:$C$505,B11,'Data Pengujian'!$Q$6:$Q$505,"STUCK"))</f>
        <v/>
      </c>
      <c r="J11" s="30">
        <f>IF(OR(B11="",D11=0),"",E11/D11)</f>
        <v/>
      </c>
      <c r="K11" s="30">
        <f>IF(J11="","",1-J11)</f>
        <v/>
      </c>
      <c r="L11" s="30">
        <f>IF(OR(B11="",D11=0),"",F11/D11)</f>
        <v/>
      </c>
      <c r="M11" s="30">
        <f>IF(OR(B11="",D11="",D11-E11=0),"",(G11+H11)/(D11-E11))</f>
        <v/>
      </c>
      <c r="N11" s="29">
        <f>IF(B11="","",IFERROR(SUMPRODUCT(('Data Pengujian'!$C$6:$C$505=B11)*('Data Pengujian'!$Q$6:$Q$505&lt;&gt;"")*'Data Pengujian'!$P$6:$P$505)/SUMPRODUCT(('Data Pengujian'!$C$6:$C$505=B11)*('Data Pengujian'!$Q$6:$Q$505&lt;&gt;"")*('Data Pengujian'!$P$6:$P$505&lt;&gt;"")),""))</f>
        <v/>
      </c>
    </row>
    <row r="12">
      <c r="B12" s="2" t="inlineStr">
        <is>
          <t>Gagal Terdeteksi = (FAILED + TIMEOUT) / semua kegagalan. Nilai tinggi berarti user diberi tahu saat gagal, bukan menerima skor 0 diam-diam.</t>
        </is>
      </c>
    </row>
    <row r="14">
      <c r="B14" s="3" t="inlineStr">
        <is>
          <t>Tabel 2 — Tingkat gagal per durasi video</t>
        </is>
      </c>
    </row>
    <row r="15" ht="30" customHeight="1">
      <c r="B15" s="10" t="inlineStr">
        <is>
          <t>Label Fase</t>
        </is>
      </c>
      <c r="C15" s="37" t="n">
        <v>1</v>
      </c>
      <c r="D15" s="37" t="n">
        <v>3</v>
      </c>
      <c r="E15" s="37" t="n">
        <v>5</v>
      </c>
      <c r="F15" s="37" t="n">
        <v>8</v>
      </c>
    </row>
    <row r="16">
      <c r="B16" s="36">
        <f>IF(B6="","",B6)</f>
        <v/>
      </c>
      <c r="C16" s="30">
        <f>IF($B16="","",IF(SUMPRODUCT(('Data Pengujian'!$C$6:$C$505=$B16)*('Data Pengujian'!$F$6:$F$505=C$15)*('Data Pengujian'!$Q$6:$Q$505&lt;&gt;""))=0,"",1-COUNTIFS('Data Pengujian'!$C$6:$C$505,$B16,'Data Pengujian'!$F$6:$F$505,C$15,'Data Pengujian'!$Q$6:$Q$505,"SUCCESS")/SUMPRODUCT(('Data Pengujian'!$C$6:$C$505=$B16)*('Data Pengujian'!$F$6:$F$505=C$15)*('Data Pengujian'!$Q$6:$Q$505&lt;&gt;""))))</f>
        <v/>
      </c>
      <c r="D16" s="30">
        <f>IF($B16="","",IF(SUMPRODUCT(('Data Pengujian'!$C$6:$C$505=$B16)*('Data Pengujian'!$F$6:$F$505=D$15)*('Data Pengujian'!$Q$6:$Q$505&lt;&gt;""))=0,"",1-COUNTIFS('Data Pengujian'!$C$6:$C$505,$B16,'Data Pengujian'!$F$6:$F$505,D$15,'Data Pengujian'!$Q$6:$Q$505,"SUCCESS")/SUMPRODUCT(('Data Pengujian'!$C$6:$C$505=$B16)*('Data Pengujian'!$F$6:$F$505=D$15)*('Data Pengujian'!$Q$6:$Q$505&lt;&gt;""))))</f>
        <v/>
      </c>
      <c r="E16" s="30">
        <f>IF($B16="","",IF(SUMPRODUCT(('Data Pengujian'!$C$6:$C$505=$B16)*('Data Pengujian'!$F$6:$F$505=E$15)*('Data Pengujian'!$Q$6:$Q$505&lt;&gt;""))=0,"",1-COUNTIFS('Data Pengujian'!$C$6:$C$505,$B16,'Data Pengujian'!$F$6:$F$505,E$15,'Data Pengujian'!$Q$6:$Q$505,"SUCCESS")/SUMPRODUCT(('Data Pengujian'!$C$6:$C$505=$B16)*('Data Pengujian'!$F$6:$F$505=E$15)*('Data Pengujian'!$Q$6:$Q$505&lt;&gt;""))))</f>
        <v/>
      </c>
      <c r="F16" s="30">
        <f>IF($B16="","",IF(SUMPRODUCT(('Data Pengujian'!$C$6:$C$505=$B16)*('Data Pengujian'!$F$6:$F$505=F$15)*('Data Pengujian'!$Q$6:$Q$505&lt;&gt;""))=0,"",1-COUNTIFS('Data Pengujian'!$C$6:$C$505,$B16,'Data Pengujian'!$F$6:$F$505,F$15,'Data Pengujian'!$Q$6:$Q$505,"SUCCESS")/SUMPRODUCT(('Data Pengujian'!$C$6:$C$505=$B16)*('Data Pengujian'!$F$6:$F$505=F$15)*('Data Pengujian'!$Q$6:$Q$505&lt;&gt;""))))</f>
        <v/>
      </c>
    </row>
    <row r="17">
      <c r="B17" s="36">
        <f>IF(B7="","",B7)</f>
        <v/>
      </c>
      <c r="C17" s="30">
        <f>IF($B17="","",IF(SUMPRODUCT(('Data Pengujian'!$C$6:$C$505=$B17)*('Data Pengujian'!$F$6:$F$505=C$15)*('Data Pengujian'!$Q$6:$Q$505&lt;&gt;""))=0,"",1-COUNTIFS('Data Pengujian'!$C$6:$C$505,$B17,'Data Pengujian'!$F$6:$F$505,C$15,'Data Pengujian'!$Q$6:$Q$505,"SUCCESS")/SUMPRODUCT(('Data Pengujian'!$C$6:$C$505=$B17)*('Data Pengujian'!$F$6:$F$505=C$15)*('Data Pengujian'!$Q$6:$Q$505&lt;&gt;""))))</f>
        <v/>
      </c>
      <c r="D17" s="30">
        <f>IF($B17="","",IF(SUMPRODUCT(('Data Pengujian'!$C$6:$C$505=$B17)*('Data Pengujian'!$F$6:$F$505=D$15)*('Data Pengujian'!$Q$6:$Q$505&lt;&gt;""))=0,"",1-COUNTIFS('Data Pengujian'!$C$6:$C$505,$B17,'Data Pengujian'!$F$6:$F$505,D$15,'Data Pengujian'!$Q$6:$Q$505,"SUCCESS")/SUMPRODUCT(('Data Pengujian'!$C$6:$C$505=$B17)*('Data Pengujian'!$F$6:$F$505=D$15)*('Data Pengujian'!$Q$6:$Q$505&lt;&gt;""))))</f>
        <v/>
      </c>
      <c r="E17" s="30">
        <f>IF($B17="","",IF(SUMPRODUCT(('Data Pengujian'!$C$6:$C$505=$B17)*('Data Pengujian'!$F$6:$F$505=E$15)*('Data Pengujian'!$Q$6:$Q$505&lt;&gt;""))=0,"",1-COUNTIFS('Data Pengujian'!$C$6:$C$505,$B17,'Data Pengujian'!$F$6:$F$505,E$15,'Data Pengujian'!$Q$6:$Q$505,"SUCCESS")/SUMPRODUCT(('Data Pengujian'!$C$6:$C$505=$B17)*('Data Pengujian'!$F$6:$F$505=E$15)*('Data Pengujian'!$Q$6:$Q$505&lt;&gt;""))))</f>
        <v/>
      </c>
      <c r="F17" s="30">
        <f>IF($B17="","",IF(SUMPRODUCT(('Data Pengujian'!$C$6:$C$505=$B17)*('Data Pengujian'!$F$6:$F$505=F$15)*('Data Pengujian'!$Q$6:$Q$505&lt;&gt;""))=0,"",1-COUNTIFS('Data Pengujian'!$C$6:$C$505,$B17,'Data Pengujian'!$F$6:$F$505,F$15,'Data Pengujian'!$Q$6:$Q$505,"SUCCESS")/SUMPRODUCT(('Data Pengujian'!$C$6:$C$505=$B17)*('Data Pengujian'!$F$6:$F$505=F$15)*('Data Pengujian'!$Q$6:$Q$505&lt;&gt;""))))</f>
        <v/>
      </c>
    </row>
    <row r="18">
      <c r="B18" s="36">
        <f>IF(B8="","",B8)</f>
        <v/>
      </c>
      <c r="C18" s="30">
        <f>IF($B18="","",IF(SUMPRODUCT(('Data Pengujian'!$C$6:$C$505=$B18)*('Data Pengujian'!$F$6:$F$505=C$15)*('Data Pengujian'!$Q$6:$Q$505&lt;&gt;""))=0,"",1-COUNTIFS('Data Pengujian'!$C$6:$C$505,$B18,'Data Pengujian'!$F$6:$F$505,C$15,'Data Pengujian'!$Q$6:$Q$505,"SUCCESS")/SUMPRODUCT(('Data Pengujian'!$C$6:$C$505=$B18)*('Data Pengujian'!$F$6:$F$505=C$15)*('Data Pengujian'!$Q$6:$Q$505&lt;&gt;""))))</f>
        <v/>
      </c>
      <c r="D18" s="30">
        <f>IF($B18="","",IF(SUMPRODUCT(('Data Pengujian'!$C$6:$C$505=$B18)*('Data Pengujian'!$F$6:$F$505=D$15)*('Data Pengujian'!$Q$6:$Q$505&lt;&gt;""))=0,"",1-COUNTIFS('Data Pengujian'!$C$6:$C$505,$B18,'Data Pengujian'!$F$6:$F$505,D$15,'Data Pengujian'!$Q$6:$Q$505,"SUCCESS")/SUMPRODUCT(('Data Pengujian'!$C$6:$C$505=$B18)*('Data Pengujian'!$F$6:$F$505=D$15)*('Data Pengujian'!$Q$6:$Q$505&lt;&gt;""))))</f>
        <v/>
      </c>
      <c r="E18" s="30">
        <f>IF($B18="","",IF(SUMPRODUCT(('Data Pengujian'!$C$6:$C$505=$B18)*('Data Pengujian'!$F$6:$F$505=E$15)*('Data Pengujian'!$Q$6:$Q$505&lt;&gt;""))=0,"",1-COUNTIFS('Data Pengujian'!$C$6:$C$505,$B18,'Data Pengujian'!$F$6:$F$505,E$15,'Data Pengujian'!$Q$6:$Q$505,"SUCCESS")/SUMPRODUCT(('Data Pengujian'!$C$6:$C$505=$B18)*('Data Pengujian'!$F$6:$F$505=E$15)*('Data Pengujian'!$Q$6:$Q$505&lt;&gt;""))))</f>
        <v/>
      </c>
      <c r="F18" s="30">
        <f>IF($B18="","",IF(SUMPRODUCT(('Data Pengujian'!$C$6:$C$505=$B18)*('Data Pengujian'!$F$6:$F$505=F$15)*('Data Pengujian'!$Q$6:$Q$505&lt;&gt;""))=0,"",1-COUNTIFS('Data Pengujian'!$C$6:$C$505,$B18,'Data Pengujian'!$F$6:$F$505,F$15,'Data Pengujian'!$Q$6:$Q$505,"SUCCESS")/SUMPRODUCT(('Data Pengujian'!$C$6:$C$505=$B18)*('Data Pengujian'!$F$6:$F$505=F$15)*('Data Pengujian'!$Q$6:$Q$505&lt;&gt;""))))</f>
        <v/>
      </c>
    </row>
    <row r="19">
      <c r="B19" s="36">
        <f>IF(B9="","",B9)</f>
        <v/>
      </c>
      <c r="C19" s="30">
        <f>IF($B19="","",IF(SUMPRODUCT(('Data Pengujian'!$C$6:$C$505=$B19)*('Data Pengujian'!$F$6:$F$505=C$15)*('Data Pengujian'!$Q$6:$Q$505&lt;&gt;""))=0,"",1-COUNTIFS('Data Pengujian'!$C$6:$C$505,$B19,'Data Pengujian'!$F$6:$F$505,C$15,'Data Pengujian'!$Q$6:$Q$505,"SUCCESS")/SUMPRODUCT(('Data Pengujian'!$C$6:$C$505=$B19)*('Data Pengujian'!$F$6:$F$505=C$15)*('Data Pengujian'!$Q$6:$Q$505&lt;&gt;""))))</f>
        <v/>
      </c>
      <c r="D19" s="30">
        <f>IF($B19="","",IF(SUMPRODUCT(('Data Pengujian'!$C$6:$C$505=$B19)*('Data Pengujian'!$F$6:$F$505=D$15)*('Data Pengujian'!$Q$6:$Q$505&lt;&gt;""))=0,"",1-COUNTIFS('Data Pengujian'!$C$6:$C$505,$B19,'Data Pengujian'!$F$6:$F$505,D$15,'Data Pengujian'!$Q$6:$Q$505,"SUCCESS")/SUMPRODUCT(('Data Pengujian'!$C$6:$C$505=$B19)*('Data Pengujian'!$F$6:$F$505=D$15)*('Data Pengujian'!$Q$6:$Q$505&lt;&gt;""))))</f>
        <v/>
      </c>
      <c r="E19" s="30">
        <f>IF($B19="","",IF(SUMPRODUCT(('Data Pengujian'!$C$6:$C$505=$B19)*('Data Pengujian'!$F$6:$F$505=E$15)*('Data Pengujian'!$Q$6:$Q$505&lt;&gt;""))=0,"",1-COUNTIFS('Data Pengujian'!$C$6:$C$505,$B19,'Data Pengujian'!$F$6:$F$505,E$15,'Data Pengujian'!$Q$6:$Q$505,"SUCCESS")/SUMPRODUCT(('Data Pengujian'!$C$6:$C$505=$B19)*('Data Pengujian'!$F$6:$F$505=E$15)*('Data Pengujian'!$Q$6:$Q$505&lt;&gt;""))))</f>
        <v/>
      </c>
      <c r="F19" s="30">
        <f>IF($B19="","",IF(SUMPRODUCT(('Data Pengujian'!$C$6:$C$505=$B19)*('Data Pengujian'!$F$6:$F$505=F$15)*('Data Pengujian'!$Q$6:$Q$505&lt;&gt;""))=0,"",1-COUNTIFS('Data Pengujian'!$C$6:$C$505,$B19,'Data Pengujian'!$F$6:$F$505,F$15,'Data Pengujian'!$Q$6:$Q$505,"SUCCESS")/SUMPRODUCT(('Data Pengujian'!$C$6:$C$505=$B19)*('Data Pengujian'!$F$6:$F$505=F$15)*('Data Pengujian'!$Q$6:$Q$505&lt;&gt;""))))</f>
        <v/>
      </c>
    </row>
    <row r="20">
      <c r="B20" s="36">
        <f>IF(B10="","",B10)</f>
        <v/>
      </c>
      <c r="C20" s="30">
        <f>IF($B20="","",IF(SUMPRODUCT(('Data Pengujian'!$C$6:$C$505=$B20)*('Data Pengujian'!$F$6:$F$505=C$15)*('Data Pengujian'!$Q$6:$Q$505&lt;&gt;""))=0,"",1-COUNTIFS('Data Pengujian'!$C$6:$C$505,$B20,'Data Pengujian'!$F$6:$F$505,C$15,'Data Pengujian'!$Q$6:$Q$505,"SUCCESS")/SUMPRODUCT(('Data Pengujian'!$C$6:$C$505=$B20)*('Data Pengujian'!$F$6:$F$505=C$15)*('Data Pengujian'!$Q$6:$Q$505&lt;&gt;""))))</f>
        <v/>
      </c>
      <c r="D20" s="30">
        <f>IF($B20="","",IF(SUMPRODUCT(('Data Pengujian'!$C$6:$C$505=$B20)*('Data Pengujian'!$F$6:$F$505=D$15)*('Data Pengujian'!$Q$6:$Q$505&lt;&gt;""))=0,"",1-COUNTIFS('Data Pengujian'!$C$6:$C$505,$B20,'Data Pengujian'!$F$6:$F$505,D$15,'Data Pengujian'!$Q$6:$Q$505,"SUCCESS")/SUMPRODUCT(('Data Pengujian'!$C$6:$C$505=$B20)*('Data Pengujian'!$F$6:$F$505=D$15)*('Data Pengujian'!$Q$6:$Q$505&lt;&gt;""))))</f>
        <v/>
      </c>
      <c r="E20" s="30">
        <f>IF($B20="","",IF(SUMPRODUCT(('Data Pengujian'!$C$6:$C$505=$B20)*('Data Pengujian'!$F$6:$F$505=E$15)*('Data Pengujian'!$Q$6:$Q$505&lt;&gt;""))=0,"",1-COUNTIFS('Data Pengujian'!$C$6:$C$505,$B20,'Data Pengujian'!$F$6:$F$505,E$15,'Data Pengujian'!$Q$6:$Q$505,"SUCCESS")/SUMPRODUCT(('Data Pengujian'!$C$6:$C$505=$B20)*('Data Pengujian'!$F$6:$F$505=E$15)*('Data Pengujian'!$Q$6:$Q$505&lt;&gt;""))))</f>
        <v/>
      </c>
      <c r="F20" s="30">
        <f>IF($B20="","",IF(SUMPRODUCT(('Data Pengujian'!$C$6:$C$505=$B20)*('Data Pengujian'!$F$6:$F$505=F$15)*('Data Pengujian'!$Q$6:$Q$505&lt;&gt;""))=0,"",1-COUNTIFS('Data Pengujian'!$C$6:$C$505,$B20,'Data Pengujian'!$F$6:$F$505,F$15,'Data Pengujian'!$Q$6:$Q$505,"SUCCESS")/SUMPRODUCT(('Data Pengujian'!$C$6:$C$505=$B20)*('Data Pengujian'!$F$6:$F$505=F$15)*('Data Pengujian'!$Q$6:$Q$505&lt;&gt;""))))</f>
        <v/>
      </c>
    </row>
    <row r="21">
      <c r="B21" s="36">
        <f>IF(B11="","",B11)</f>
        <v/>
      </c>
      <c r="C21" s="30">
        <f>IF($B21="","",IF(SUMPRODUCT(('Data Pengujian'!$C$6:$C$505=$B21)*('Data Pengujian'!$F$6:$F$505=C$15)*('Data Pengujian'!$Q$6:$Q$505&lt;&gt;""))=0,"",1-COUNTIFS('Data Pengujian'!$C$6:$C$505,$B21,'Data Pengujian'!$F$6:$F$505,C$15,'Data Pengujian'!$Q$6:$Q$505,"SUCCESS")/SUMPRODUCT(('Data Pengujian'!$C$6:$C$505=$B21)*('Data Pengujian'!$F$6:$F$505=C$15)*('Data Pengujian'!$Q$6:$Q$505&lt;&gt;""))))</f>
        <v/>
      </c>
      <c r="D21" s="30">
        <f>IF($B21="","",IF(SUMPRODUCT(('Data Pengujian'!$C$6:$C$505=$B21)*('Data Pengujian'!$F$6:$F$505=D$15)*('Data Pengujian'!$Q$6:$Q$505&lt;&gt;""))=0,"",1-COUNTIFS('Data Pengujian'!$C$6:$C$505,$B21,'Data Pengujian'!$F$6:$F$505,D$15,'Data Pengujian'!$Q$6:$Q$505,"SUCCESS")/SUMPRODUCT(('Data Pengujian'!$C$6:$C$505=$B21)*('Data Pengujian'!$F$6:$F$505=D$15)*('Data Pengujian'!$Q$6:$Q$505&lt;&gt;""))))</f>
        <v/>
      </c>
      <c r="E21" s="30">
        <f>IF($B21="","",IF(SUMPRODUCT(('Data Pengujian'!$C$6:$C$505=$B21)*('Data Pengujian'!$F$6:$F$505=E$15)*('Data Pengujian'!$Q$6:$Q$505&lt;&gt;""))=0,"",1-COUNTIFS('Data Pengujian'!$C$6:$C$505,$B21,'Data Pengujian'!$F$6:$F$505,E$15,'Data Pengujian'!$Q$6:$Q$505,"SUCCESS")/SUMPRODUCT(('Data Pengujian'!$C$6:$C$505=$B21)*('Data Pengujian'!$F$6:$F$505=E$15)*('Data Pengujian'!$Q$6:$Q$505&lt;&gt;""))))</f>
        <v/>
      </c>
      <c r="F21" s="30">
        <f>IF($B21="","",IF(SUMPRODUCT(('Data Pengujian'!$C$6:$C$505=$B21)*('Data Pengujian'!$F$6:$F$505=F$15)*('Data Pengujian'!$Q$6:$Q$505&lt;&gt;""))=0,"",1-COUNTIFS('Data Pengujian'!$C$6:$C$505,$B21,'Data Pengujian'!$F$6:$F$505,F$15,'Data Pengujian'!$Q$6:$Q$505,"SUCCESS")/SUMPRODUCT(('Data Pengujian'!$C$6:$C$505=$B21)*('Data Pengujian'!$F$6:$F$505=F$15)*('Data Pengujian'!$Q$6:$Q$505&lt;&gt;""))))</f>
        <v/>
      </c>
    </row>
    <row r="23">
      <c r="B23" s="3" t="inlineStr">
        <is>
          <t>Tabel 3 — Jumlah kegagalan per tahap</t>
        </is>
      </c>
    </row>
    <row r="24" ht="30" customHeight="1">
      <c r="B24" s="10" t="inlineStr">
        <is>
          <t>Label Fase</t>
        </is>
      </c>
      <c r="C24" s="10" t="inlineStr">
        <is>
          <t>UPLOAD</t>
        </is>
      </c>
      <c r="D24" s="10" t="inlineStr">
        <is>
          <t>FILE_ACTIVE</t>
        </is>
      </c>
      <c r="E24" s="10" t="inlineStr">
        <is>
          <t>GENERATE</t>
        </is>
      </c>
      <c r="F24" s="10" t="inlineStr">
        <is>
          <t>PARSE</t>
        </is>
      </c>
      <c r="G24" s="10" t="inlineStr">
        <is>
          <t>SAVE</t>
        </is>
      </c>
      <c r="H24" s="10" t="inlineStr">
        <is>
          <t>DEADLINE</t>
        </is>
      </c>
      <c r="I24" s="10" t="inlineStr">
        <is>
          <t>ORPHANED</t>
        </is>
      </c>
      <c r="J24" s="10" t="inlineStr">
        <is>
          <t>VALIDATION</t>
        </is>
      </c>
    </row>
    <row r="25">
      <c r="B25" s="36">
        <f>IF(B6="","",B6)</f>
        <v/>
      </c>
      <c r="C25" s="28">
        <f>IF($B25="","",COUNTIFS('Data Pengujian'!$C$6:$C$505,$B25,'Data Pengujian'!$R$6:$R$505,"UPLOAD"))</f>
        <v/>
      </c>
      <c r="D25" s="28">
        <f>IF($B25="","",COUNTIFS('Data Pengujian'!$C$6:$C$505,$B25,'Data Pengujian'!$R$6:$R$505,"FILE_ACTIVE"))</f>
        <v/>
      </c>
      <c r="E25" s="28">
        <f>IF($B25="","",COUNTIFS('Data Pengujian'!$C$6:$C$505,$B25,'Data Pengujian'!$R$6:$R$505,"GENERATE"))</f>
        <v/>
      </c>
      <c r="F25" s="28">
        <f>IF($B25="","",COUNTIFS('Data Pengujian'!$C$6:$C$505,$B25,'Data Pengujian'!$R$6:$R$505,"PARSE"))</f>
        <v/>
      </c>
      <c r="G25" s="28">
        <f>IF($B25="","",COUNTIFS('Data Pengujian'!$C$6:$C$505,$B25,'Data Pengujian'!$R$6:$R$505,"SAVE"))</f>
        <v/>
      </c>
      <c r="H25" s="28">
        <f>IF($B25="","",COUNTIFS('Data Pengujian'!$C$6:$C$505,$B25,'Data Pengujian'!$R$6:$R$505,"DEADLINE"))</f>
        <v/>
      </c>
      <c r="I25" s="28">
        <f>IF($B25="","",COUNTIFS('Data Pengujian'!$C$6:$C$505,$B25,'Data Pengujian'!$R$6:$R$505,"ORPHANED"))</f>
        <v/>
      </c>
      <c r="J25" s="28">
        <f>IF($B25="","",COUNTIFS('Data Pengujian'!$C$6:$C$505,$B25,'Data Pengujian'!$R$6:$R$505,"VALIDATION"))</f>
        <v/>
      </c>
    </row>
    <row r="26">
      <c r="B26" s="36">
        <f>IF(B7="","",B7)</f>
        <v/>
      </c>
      <c r="C26" s="28">
        <f>IF($B26="","",COUNTIFS('Data Pengujian'!$C$6:$C$505,$B26,'Data Pengujian'!$R$6:$R$505,"UPLOAD"))</f>
        <v/>
      </c>
      <c r="D26" s="28">
        <f>IF($B26="","",COUNTIFS('Data Pengujian'!$C$6:$C$505,$B26,'Data Pengujian'!$R$6:$R$505,"FILE_ACTIVE"))</f>
        <v/>
      </c>
      <c r="E26" s="28">
        <f>IF($B26="","",COUNTIFS('Data Pengujian'!$C$6:$C$505,$B26,'Data Pengujian'!$R$6:$R$505,"GENERATE"))</f>
        <v/>
      </c>
      <c r="F26" s="28">
        <f>IF($B26="","",COUNTIFS('Data Pengujian'!$C$6:$C$505,$B26,'Data Pengujian'!$R$6:$R$505,"PARSE"))</f>
        <v/>
      </c>
      <c r="G26" s="28">
        <f>IF($B26="","",COUNTIFS('Data Pengujian'!$C$6:$C$505,$B26,'Data Pengujian'!$R$6:$R$505,"SAVE"))</f>
        <v/>
      </c>
      <c r="H26" s="28">
        <f>IF($B26="","",COUNTIFS('Data Pengujian'!$C$6:$C$505,$B26,'Data Pengujian'!$R$6:$R$505,"DEADLINE"))</f>
        <v/>
      </c>
      <c r="I26" s="28">
        <f>IF($B26="","",COUNTIFS('Data Pengujian'!$C$6:$C$505,$B26,'Data Pengujian'!$R$6:$R$505,"ORPHANED"))</f>
        <v/>
      </c>
      <c r="J26" s="28">
        <f>IF($B26="","",COUNTIFS('Data Pengujian'!$C$6:$C$505,$B26,'Data Pengujian'!$R$6:$R$505,"VALIDATION"))</f>
        <v/>
      </c>
    </row>
    <row r="27">
      <c r="B27" s="36">
        <f>IF(B8="","",B8)</f>
        <v/>
      </c>
      <c r="C27" s="28">
        <f>IF($B27="","",COUNTIFS('Data Pengujian'!$C$6:$C$505,$B27,'Data Pengujian'!$R$6:$R$505,"UPLOAD"))</f>
        <v/>
      </c>
      <c r="D27" s="28">
        <f>IF($B27="","",COUNTIFS('Data Pengujian'!$C$6:$C$505,$B27,'Data Pengujian'!$R$6:$R$505,"FILE_ACTIVE"))</f>
        <v/>
      </c>
      <c r="E27" s="28">
        <f>IF($B27="","",COUNTIFS('Data Pengujian'!$C$6:$C$505,$B27,'Data Pengujian'!$R$6:$R$505,"GENERATE"))</f>
        <v/>
      </c>
      <c r="F27" s="28">
        <f>IF($B27="","",COUNTIFS('Data Pengujian'!$C$6:$C$505,$B27,'Data Pengujian'!$R$6:$R$505,"PARSE"))</f>
        <v/>
      </c>
      <c r="G27" s="28">
        <f>IF($B27="","",COUNTIFS('Data Pengujian'!$C$6:$C$505,$B27,'Data Pengujian'!$R$6:$R$505,"SAVE"))</f>
        <v/>
      </c>
      <c r="H27" s="28">
        <f>IF($B27="","",COUNTIFS('Data Pengujian'!$C$6:$C$505,$B27,'Data Pengujian'!$R$6:$R$505,"DEADLINE"))</f>
        <v/>
      </c>
      <c r="I27" s="28">
        <f>IF($B27="","",COUNTIFS('Data Pengujian'!$C$6:$C$505,$B27,'Data Pengujian'!$R$6:$R$505,"ORPHANED"))</f>
        <v/>
      </c>
      <c r="J27" s="28">
        <f>IF($B27="","",COUNTIFS('Data Pengujian'!$C$6:$C$505,$B27,'Data Pengujian'!$R$6:$R$505,"VALIDATION"))</f>
        <v/>
      </c>
    </row>
    <row r="28">
      <c r="B28" s="36">
        <f>IF(B9="","",B9)</f>
        <v/>
      </c>
      <c r="C28" s="28">
        <f>IF($B28="","",COUNTIFS('Data Pengujian'!$C$6:$C$505,$B28,'Data Pengujian'!$R$6:$R$505,"UPLOAD"))</f>
        <v/>
      </c>
      <c r="D28" s="28">
        <f>IF($B28="","",COUNTIFS('Data Pengujian'!$C$6:$C$505,$B28,'Data Pengujian'!$R$6:$R$505,"FILE_ACTIVE"))</f>
        <v/>
      </c>
      <c r="E28" s="28">
        <f>IF($B28="","",COUNTIFS('Data Pengujian'!$C$6:$C$505,$B28,'Data Pengujian'!$R$6:$R$505,"GENERATE"))</f>
        <v/>
      </c>
      <c r="F28" s="28">
        <f>IF($B28="","",COUNTIFS('Data Pengujian'!$C$6:$C$505,$B28,'Data Pengujian'!$R$6:$R$505,"PARSE"))</f>
        <v/>
      </c>
      <c r="G28" s="28">
        <f>IF($B28="","",COUNTIFS('Data Pengujian'!$C$6:$C$505,$B28,'Data Pengujian'!$R$6:$R$505,"SAVE"))</f>
        <v/>
      </c>
      <c r="H28" s="28">
        <f>IF($B28="","",COUNTIFS('Data Pengujian'!$C$6:$C$505,$B28,'Data Pengujian'!$R$6:$R$505,"DEADLINE"))</f>
        <v/>
      </c>
      <c r="I28" s="28">
        <f>IF($B28="","",COUNTIFS('Data Pengujian'!$C$6:$C$505,$B28,'Data Pengujian'!$R$6:$R$505,"ORPHANED"))</f>
        <v/>
      </c>
      <c r="J28" s="28">
        <f>IF($B28="","",COUNTIFS('Data Pengujian'!$C$6:$C$505,$B28,'Data Pengujian'!$R$6:$R$505,"VALIDATION"))</f>
        <v/>
      </c>
    </row>
    <row r="29">
      <c r="B29" s="36">
        <f>IF(B10="","",B10)</f>
        <v/>
      </c>
      <c r="C29" s="28">
        <f>IF($B29="","",COUNTIFS('Data Pengujian'!$C$6:$C$505,$B29,'Data Pengujian'!$R$6:$R$505,"UPLOAD"))</f>
        <v/>
      </c>
      <c r="D29" s="28">
        <f>IF($B29="","",COUNTIFS('Data Pengujian'!$C$6:$C$505,$B29,'Data Pengujian'!$R$6:$R$505,"FILE_ACTIVE"))</f>
        <v/>
      </c>
      <c r="E29" s="28">
        <f>IF($B29="","",COUNTIFS('Data Pengujian'!$C$6:$C$505,$B29,'Data Pengujian'!$R$6:$R$505,"GENERATE"))</f>
        <v/>
      </c>
      <c r="F29" s="28">
        <f>IF($B29="","",COUNTIFS('Data Pengujian'!$C$6:$C$505,$B29,'Data Pengujian'!$R$6:$R$505,"PARSE"))</f>
        <v/>
      </c>
      <c r="G29" s="28">
        <f>IF($B29="","",COUNTIFS('Data Pengujian'!$C$6:$C$505,$B29,'Data Pengujian'!$R$6:$R$505,"SAVE"))</f>
        <v/>
      </c>
      <c r="H29" s="28">
        <f>IF($B29="","",COUNTIFS('Data Pengujian'!$C$6:$C$505,$B29,'Data Pengujian'!$R$6:$R$505,"DEADLINE"))</f>
        <v/>
      </c>
      <c r="I29" s="28">
        <f>IF($B29="","",COUNTIFS('Data Pengujian'!$C$6:$C$505,$B29,'Data Pengujian'!$R$6:$R$505,"ORPHANED"))</f>
        <v/>
      </c>
      <c r="J29" s="28">
        <f>IF($B29="","",COUNTIFS('Data Pengujian'!$C$6:$C$505,$B29,'Data Pengujian'!$R$6:$R$505,"VALIDATION"))</f>
        <v/>
      </c>
    </row>
    <row r="30">
      <c r="B30" s="36">
        <f>IF(B11="","",B11)</f>
        <v/>
      </c>
      <c r="C30" s="28">
        <f>IF($B30="","",COUNTIFS('Data Pengujian'!$C$6:$C$505,$B30,'Data Pengujian'!$R$6:$R$505,"UPLOAD"))</f>
        <v/>
      </c>
      <c r="D30" s="28">
        <f>IF($B30="","",COUNTIFS('Data Pengujian'!$C$6:$C$505,$B30,'Data Pengujian'!$R$6:$R$505,"FILE_ACTIVE"))</f>
        <v/>
      </c>
      <c r="E30" s="28">
        <f>IF($B30="","",COUNTIFS('Data Pengujian'!$C$6:$C$505,$B30,'Data Pengujian'!$R$6:$R$505,"GENERATE"))</f>
        <v/>
      </c>
      <c r="F30" s="28">
        <f>IF($B30="","",COUNTIFS('Data Pengujian'!$C$6:$C$505,$B30,'Data Pengujian'!$R$6:$R$505,"PARSE"))</f>
        <v/>
      </c>
      <c r="G30" s="28">
        <f>IF($B30="","",COUNTIFS('Data Pengujian'!$C$6:$C$505,$B30,'Data Pengujian'!$R$6:$R$505,"SAVE"))</f>
        <v/>
      </c>
      <c r="H30" s="28">
        <f>IF($B30="","",COUNTIFS('Data Pengujian'!$C$6:$C$505,$B30,'Data Pengujian'!$R$6:$R$505,"DEADLINE"))</f>
        <v/>
      </c>
      <c r="I30" s="28">
        <f>IF($B30="","",COUNTIFS('Data Pengujian'!$C$6:$C$505,$B30,'Data Pengujian'!$R$6:$R$505,"ORPHANED"))</f>
        <v/>
      </c>
      <c r="J30" s="28">
        <f>IF($B30="","",COUNTIFS('Data Pengujian'!$C$6:$C$505,$B30,'Data Pengujian'!$R$6:$R$505,"VALIDATION"))</f>
        <v/>
      </c>
    </row>
  </sheetData>
  <dataValidations count="1">
    <dataValidation sqref="B6:B11" showDropDown="0" showInputMessage="0" showErrorMessage="0" allowBlank="1" errorTitle="Nilai tidak ada di daftar" error="Nilai di luar daftar. Tambahkan dulu ke sheet 'Daftar Pilihan' bila ini label baru." type="list" errorStyle="warning">
      <formula1>'Daftar Pilihan'!$A$5:$A$24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42" customWidth="1" min="10" max="10"/>
    <col width="26" customWidth="1" min="11" max="11"/>
    <col width="3" customWidth="1" min="12" max="12"/>
    <col width="8" customWidth="1" min="13" max="13"/>
    <col width="12" customWidth="1" min="14" max="14"/>
  </cols>
  <sheetData>
    <row r="1">
      <c r="A1" s="1" t="inlineStr">
        <is>
          <t>Uji Berpasangan — Wilcoxon Signed-Rank</t>
        </is>
      </c>
    </row>
    <row r="2">
      <c r="A2" s="2" t="inlineStr">
        <is>
          <t>Membandingkan Total Server dari video yang SAMA di Label A vs Label B. Hanya pasangan yang SUCCESS di kedua label yang dihitung.</t>
        </is>
      </c>
    </row>
    <row r="4">
      <c r="B4" s="31" t="inlineStr">
        <is>
          <t>Label A</t>
        </is>
      </c>
      <c r="C4" s="4" t="inlineStr">
        <is>
          <t>baseline</t>
        </is>
      </c>
    </row>
    <row r="5">
      <c r="B5" s="31" t="inlineStr">
        <is>
          <t>Label B</t>
        </is>
      </c>
      <c r="C5" s="4" t="inlineStr">
        <is>
          <t>optimized</t>
        </is>
      </c>
    </row>
    <row r="7">
      <c r="M7" s="3" t="inlineStr">
        <is>
          <t>Tabel nilai kritis (dua arah, α = 0,05)</t>
        </is>
      </c>
    </row>
    <row r="8" ht="45" customHeight="1">
      <c r="B8" s="10" t="inlineStr">
        <is>
          <t>Kode Sampel</t>
        </is>
      </c>
      <c r="C8" s="10" t="inlineStr">
        <is>
          <t>Total A (dtk)</t>
        </is>
      </c>
      <c r="D8" s="10" t="inlineStr">
        <is>
          <t>Total B (dtk)</t>
        </is>
      </c>
      <c r="E8" s="10" t="inlineStr">
        <is>
          <t>Selisih B − A (dtk)</t>
        </is>
      </c>
      <c r="F8" s="10" t="inlineStr">
        <is>
          <t>|Selisih| (dtk)</t>
        </is>
      </c>
      <c r="G8" s="10" t="inlineStr">
        <is>
          <t>Peringkat</t>
        </is>
      </c>
      <c r="H8" s="10" t="inlineStr">
        <is>
          <t>Peringkat Bertanda</t>
        </is>
      </c>
      <c r="J8" s="10" t="inlineStr">
        <is>
          <t>Hasil Uji</t>
        </is>
      </c>
      <c r="K8" s="10" t="inlineStr">
        <is>
          <t>Nilai</t>
        </is>
      </c>
      <c r="M8" s="10" t="inlineStr">
        <is>
          <t>n</t>
        </is>
      </c>
      <c r="N8" s="10" t="inlineStr">
        <is>
          <t>Nilai Kritis</t>
        </is>
      </c>
    </row>
    <row r="9">
      <c r="B9" s="24" t="inlineStr">
        <is>
          <t>01min_01</t>
        </is>
      </c>
      <c r="C9" s="29">
        <f>IF($B9="","",IFERROR(AVERAGEIFS('Data Pengujian'!$N$6:$N$505,'Data Pengujian'!$C$6:$C$505,$C$4,'Data Pengujian'!$E$6:$E$505,$B9,'Data Pengujian'!$Q$6:$Q$505,"SUCCESS"),""))</f>
        <v/>
      </c>
      <c r="D9" s="29">
        <f>IF($B9="","",IFERROR(AVERAGEIFS('Data Pengujian'!$N$6:$N$505,'Data Pengujian'!$C$6:$C$505,$C$5,'Data Pengujian'!$E$6:$E$505,$B9,'Data Pengujian'!$Q$6:$Q$505,"SUCCESS"),""))</f>
        <v/>
      </c>
      <c r="E9" s="29">
        <f>IF(OR(C9="",D9=""),"",ROUND(D9-C9,2))</f>
        <v/>
      </c>
      <c r="F9" s="29">
        <f>IF(E9="","",IF(E9=0,"",ABS(E9)))</f>
        <v/>
      </c>
      <c r="G9" s="38">
        <f>IF(F9="","",COUNTIF($F$9:$F$58,"&lt;"&amp;F9)+(COUNTIF($F$9:$F$58,F9)+1)/2)</f>
        <v/>
      </c>
      <c r="H9" s="38">
        <f>IF(G9="","",IF(E9&gt;0,G9,-G9))</f>
        <v/>
      </c>
      <c r="J9" s="39" t="inlineStr">
        <is>
          <t>Jumlah pasangan dipakai (n, selisih ≠ 0)</t>
        </is>
      </c>
      <c r="K9" s="28">
        <f>COUNT(F9:F58)</f>
        <v/>
      </c>
      <c r="M9" s="40" t="n">
        <v>6</v>
      </c>
      <c r="N9" s="40" t="n">
        <v>0</v>
      </c>
    </row>
    <row r="10">
      <c r="B10" s="24" t="inlineStr">
        <is>
          <t>01min_02</t>
        </is>
      </c>
      <c r="C10" s="29">
        <f>IF($B10="","",IFERROR(AVERAGEIFS('Data Pengujian'!$N$6:$N$505,'Data Pengujian'!$C$6:$C$505,$C$4,'Data Pengujian'!$E$6:$E$505,$B10,'Data Pengujian'!$Q$6:$Q$505,"SUCCESS"),""))</f>
        <v/>
      </c>
      <c r="D10" s="29">
        <f>IF($B10="","",IFERROR(AVERAGEIFS('Data Pengujian'!$N$6:$N$505,'Data Pengujian'!$C$6:$C$505,$C$5,'Data Pengujian'!$E$6:$E$505,$B10,'Data Pengujian'!$Q$6:$Q$505,"SUCCESS"),""))</f>
        <v/>
      </c>
      <c r="E10" s="29">
        <f>IF(OR(C10="",D10=""),"",ROUND(D10-C10,2))</f>
        <v/>
      </c>
      <c r="F10" s="29">
        <f>IF(E10="","",IF(E10=0,"",ABS(E10)))</f>
        <v/>
      </c>
      <c r="G10" s="38">
        <f>IF(F10="","",COUNTIF($F$9:$F$58,"&lt;"&amp;F10)+(COUNTIF($F$9:$F$58,F10)+1)/2)</f>
        <v/>
      </c>
      <c r="H10" s="38">
        <f>IF(G10="","",IF(E10&gt;0,G10,-G10))</f>
        <v/>
      </c>
      <c r="J10" s="39" t="inlineStr">
        <is>
          <t>W+ (jumlah peringkat saat B lebih lambat)</t>
        </is>
      </c>
      <c r="K10" s="38">
        <f>SUMIF(H9:H58,"&gt;0")</f>
        <v/>
      </c>
      <c r="M10" s="40" t="n">
        <v>7</v>
      </c>
      <c r="N10" s="40" t="n">
        <v>2</v>
      </c>
    </row>
    <row r="11">
      <c r="B11" s="24" t="inlineStr">
        <is>
          <t>01min_03</t>
        </is>
      </c>
      <c r="C11" s="29">
        <f>IF($B11="","",IFERROR(AVERAGEIFS('Data Pengujian'!$N$6:$N$505,'Data Pengujian'!$C$6:$C$505,$C$4,'Data Pengujian'!$E$6:$E$505,$B11,'Data Pengujian'!$Q$6:$Q$505,"SUCCESS"),""))</f>
        <v/>
      </c>
      <c r="D11" s="29">
        <f>IF($B11="","",IFERROR(AVERAGEIFS('Data Pengujian'!$N$6:$N$505,'Data Pengujian'!$C$6:$C$505,$C$5,'Data Pengujian'!$E$6:$E$505,$B11,'Data Pengujian'!$Q$6:$Q$505,"SUCCESS"),""))</f>
        <v/>
      </c>
      <c r="E11" s="29">
        <f>IF(OR(C11="",D11=""),"",ROUND(D11-C11,2))</f>
        <v/>
      </c>
      <c r="F11" s="29">
        <f>IF(E11="","",IF(E11=0,"",ABS(E11)))</f>
        <v/>
      </c>
      <c r="G11" s="38">
        <f>IF(F11="","",COUNTIF($F$9:$F$58,"&lt;"&amp;F11)+(COUNTIF($F$9:$F$58,F11)+1)/2)</f>
        <v/>
      </c>
      <c r="H11" s="38">
        <f>IF(G11="","",IF(E11&gt;0,G11,-G11))</f>
        <v/>
      </c>
      <c r="J11" s="39" t="inlineStr">
        <is>
          <t>W− (jumlah peringkat saat B lebih cepat)</t>
        </is>
      </c>
      <c r="K11" s="38">
        <f>-SUMIF(H9:H58,"&lt;0")</f>
        <v/>
      </c>
      <c r="M11" s="40" t="n">
        <v>8</v>
      </c>
      <c r="N11" s="40" t="n">
        <v>3</v>
      </c>
    </row>
    <row r="12">
      <c r="B12" s="24" t="inlineStr">
        <is>
          <t>03min_01</t>
        </is>
      </c>
      <c r="C12" s="29">
        <f>IF($B12="","",IFERROR(AVERAGEIFS('Data Pengujian'!$N$6:$N$505,'Data Pengujian'!$C$6:$C$505,$C$4,'Data Pengujian'!$E$6:$E$505,$B12,'Data Pengujian'!$Q$6:$Q$505,"SUCCESS"),""))</f>
        <v/>
      </c>
      <c r="D12" s="29">
        <f>IF($B12="","",IFERROR(AVERAGEIFS('Data Pengujian'!$N$6:$N$505,'Data Pengujian'!$C$6:$C$505,$C$5,'Data Pengujian'!$E$6:$E$505,$B12,'Data Pengujian'!$Q$6:$Q$505,"SUCCESS"),""))</f>
        <v/>
      </c>
      <c r="E12" s="29">
        <f>IF(OR(C12="",D12=""),"",ROUND(D12-C12,2))</f>
        <v/>
      </c>
      <c r="F12" s="29">
        <f>IF(E12="","",IF(E12=0,"",ABS(E12)))</f>
        <v/>
      </c>
      <c r="G12" s="38">
        <f>IF(F12="","",COUNTIF($F$9:$F$58,"&lt;"&amp;F12)+(COUNTIF($F$9:$F$58,F12)+1)/2)</f>
        <v/>
      </c>
      <c r="H12" s="38">
        <f>IF(G12="","",IF(E12&gt;0,G12,-G12))</f>
        <v/>
      </c>
      <c r="J12" s="39" t="inlineStr">
        <is>
          <t>W = min(W+, W−)</t>
        </is>
      </c>
      <c r="K12" s="38">
        <f>MIN(K10,K11)</f>
        <v/>
      </c>
      <c r="M12" s="40" t="n">
        <v>9</v>
      </c>
      <c r="N12" s="40" t="n">
        <v>5</v>
      </c>
    </row>
    <row r="13">
      <c r="B13" s="24" t="inlineStr">
        <is>
          <t>03min_02</t>
        </is>
      </c>
      <c r="C13" s="29">
        <f>IF($B13="","",IFERROR(AVERAGEIFS('Data Pengujian'!$N$6:$N$505,'Data Pengujian'!$C$6:$C$505,$C$4,'Data Pengujian'!$E$6:$E$505,$B13,'Data Pengujian'!$Q$6:$Q$505,"SUCCESS"),""))</f>
        <v/>
      </c>
      <c r="D13" s="29">
        <f>IF($B13="","",IFERROR(AVERAGEIFS('Data Pengujian'!$N$6:$N$505,'Data Pengujian'!$C$6:$C$505,$C$5,'Data Pengujian'!$E$6:$E$505,$B13,'Data Pengujian'!$Q$6:$Q$505,"SUCCESS"),""))</f>
        <v/>
      </c>
      <c r="E13" s="29">
        <f>IF(OR(C13="",D13=""),"",ROUND(D13-C13,2))</f>
        <v/>
      </c>
      <c r="F13" s="29">
        <f>IF(E13="","",IF(E13=0,"",ABS(E13)))</f>
        <v/>
      </c>
      <c r="G13" s="38">
        <f>IF(F13="","",COUNTIF($F$9:$F$58,"&lt;"&amp;F13)+(COUNTIF($F$9:$F$58,F13)+1)/2)</f>
        <v/>
      </c>
      <c r="H13" s="38">
        <f>IF(G13="","",IF(E13&gt;0,G13,-G13))</f>
        <v/>
      </c>
      <c r="J13" s="39" t="inlineStr">
        <is>
          <t>Nilai kritis exact (α = 0,05, dua arah)</t>
        </is>
      </c>
      <c r="K13" s="28">
        <f>IFERROR(INDEX($N$9:$N$53,MATCH(K9,$M$9:$M$53,0)),"")</f>
        <v/>
      </c>
      <c r="M13" s="40" t="n">
        <v>10</v>
      </c>
      <c r="N13" s="40" t="n">
        <v>8</v>
      </c>
    </row>
    <row r="14">
      <c r="B14" s="24" t="inlineStr">
        <is>
          <t>03min_03</t>
        </is>
      </c>
      <c r="C14" s="29">
        <f>IF($B14="","",IFERROR(AVERAGEIFS('Data Pengujian'!$N$6:$N$505,'Data Pengujian'!$C$6:$C$505,$C$4,'Data Pengujian'!$E$6:$E$505,$B14,'Data Pengujian'!$Q$6:$Q$505,"SUCCESS"),""))</f>
        <v/>
      </c>
      <c r="D14" s="29">
        <f>IF($B14="","",IFERROR(AVERAGEIFS('Data Pengujian'!$N$6:$N$505,'Data Pengujian'!$C$6:$C$505,$C$5,'Data Pengujian'!$E$6:$E$505,$B14,'Data Pengujian'!$Q$6:$Q$505,"SUCCESS"),""))</f>
        <v/>
      </c>
      <c r="E14" s="29">
        <f>IF(OR(C14="",D14=""),"",ROUND(D14-C14,2))</f>
        <v/>
      </c>
      <c r="F14" s="29">
        <f>IF(E14="","",IF(E14=0,"",ABS(E14)))</f>
        <v/>
      </c>
      <c r="G14" s="38">
        <f>IF(F14="","",COUNTIF($F$9:$F$58,"&lt;"&amp;F14)+(COUNTIF($F$9:$F$58,F14)+1)/2)</f>
        <v/>
      </c>
      <c r="H14" s="38">
        <f>IF(G14="","",IF(E14&gt;0,G14,-G14))</f>
        <v/>
      </c>
      <c r="J14" s="39" t="inlineStr">
        <is>
          <t>Kesimpulan</t>
        </is>
      </c>
      <c r="K14" s="6">
        <f>IF(K9&lt;6,"Pasangan kurang (minimal 6)",IF(K12&lt;=K13,"Signifikan (p &lt; 0,05)","Tidak signifikan (p ≥ 0,05)"))</f>
        <v/>
      </c>
      <c r="M14" s="40" t="n">
        <v>11</v>
      </c>
      <c r="N14" s="40" t="n">
        <v>10</v>
      </c>
    </row>
    <row r="15">
      <c r="B15" s="24" t="inlineStr">
        <is>
          <t>05min_01</t>
        </is>
      </c>
      <c r="C15" s="29">
        <f>IF($B15="","",IFERROR(AVERAGEIFS('Data Pengujian'!$N$6:$N$505,'Data Pengujian'!$C$6:$C$505,$C$4,'Data Pengujian'!$E$6:$E$505,$B15,'Data Pengujian'!$Q$6:$Q$505,"SUCCESS"),""))</f>
        <v/>
      </c>
      <c r="D15" s="29">
        <f>IF($B15="","",IFERROR(AVERAGEIFS('Data Pengujian'!$N$6:$N$505,'Data Pengujian'!$C$6:$C$505,$C$5,'Data Pengujian'!$E$6:$E$505,$B15,'Data Pengujian'!$Q$6:$Q$505,"SUCCESS"),""))</f>
        <v/>
      </c>
      <c r="E15" s="29">
        <f>IF(OR(C15="",D15=""),"",ROUND(D15-C15,2))</f>
        <v/>
      </c>
      <c r="F15" s="29">
        <f>IF(E15="","",IF(E15=0,"",ABS(E15)))</f>
        <v/>
      </c>
      <c r="G15" s="38">
        <f>IF(F15="","",COUNTIF($F$9:$F$58,"&lt;"&amp;F15)+(COUNTIF($F$9:$F$58,F15)+1)/2)</f>
        <v/>
      </c>
      <c r="H15" s="38">
        <f>IF(G15="","",IF(E15&gt;0,G15,-G15))</f>
        <v/>
      </c>
      <c r="J15" s="39" t="inlineStr">
        <is>
          <t>Arah perbedaan</t>
        </is>
      </c>
      <c r="K15" s="36">
        <f>IF(K9=0,"",IF(K11&gt;K10,"B lebih cepat dari A",IF(K10&gt;K11,"B lebih lambat dari A","Seimbang")))</f>
        <v/>
      </c>
      <c r="M15" s="40" t="n">
        <v>12</v>
      </c>
      <c r="N15" s="40" t="n">
        <v>13</v>
      </c>
    </row>
    <row r="16">
      <c r="B16" s="24" t="inlineStr">
        <is>
          <t>05min_02</t>
        </is>
      </c>
      <c r="C16" s="29">
        <f>IF($B16="","",IFERROR(AVERAGEIFS('Data Pengujian'!$N$6:$N$505,'Data Pengujian'!$C$6:$C$505,$C$4,'Data Pengujian'!$E$6:$E$505,$B16,'Data Pengujian'!$Q$6:$Q$505,"SUCCESS"),""))</f>
        <v/>
      </c>
      <c r="D16" s="29">
        <f>IF($B16="","",IFERROR(AVERAGEIFS('Data Pengujian'!$N$6:$N$505,'Data Pengujian'!$C$6:$C$505,$C$5,'Data Pengujian'!$E$6:$E$505,$B16,'Data Pengujian'!$Q$6:$Q$505,"SUCCESS"),""))</f>
        <v/>
      </c>
      <c r="E16" s="29">
        <f>IF(OR(C16="",D16=""),"",ROUND(D16-C16,2))</f>
        <v/>
      </c>
      <c r="F16" s="29">
        <f>IF(E16="","",IF(E16=0,"",ABS(E16)))</f>
        <v/>
      </c>
      <c r="G16" s="38">
        <f>IF(F16="","",COUNTIF($F$9:$F$58,"&lt;"&amp;F16)+(COUNTIF($F$9:$F$58,F16)+1)/2)</f>
        <v/>
      </c>
      <c r="H16" s="38">
        <f>IF(G16="","",IF(E16&gt;0,G16,-G16))</f>
        <v/>
      </c>
      <c r="J16" s="39" t="inlineStr">
        <is>
          <t>Median selisih B − A (dtk)</t>
        </is>
      </c>
      <c r="K16" s="29">
        <f>IFERROR(MEDIAN(E9:E58),"")</f>
        <v/>
      </c>
      <c r="M16" s="40" t="n">
        <v>13</v>
      </c>
      <c r="N16" s="40" t="n">
        <v>17</v>
      </c>
    </row>
    <row r="17">
      <c r="B17" s="24" t="inlineStr">
        <is>
          <t>05min_03</t>
        </is>
      </c>
      <c r="C17" s="29">
        <f>IF($B17="","",IFERROR(AVERAGEIFS('Data Pengujian'!$N$6:$N$505,'Data Pengujian'!$C$6:$C$505,$C$4,'Data Pengujian'!$E$6:$E$505,$B17,'Data Pengujian'!$Q$6:$Q$505,"SUCCESS"),""))</f>
        <v/>
      </c>
      <c r="D17" s="29">
        <f>IF($B17="","",IFERROR(AVERAGEIFS('Data Pengujian'!$N$6:$N$505,'Data Pengujian'!$C$6:$C$505,$C$5,'Data Pengujian'!$E$6:$E$505,$B17,'Data Pengujian'!$Q$6:$Q$505,"SUCCESS"),""))</f>
        <v/>
      </c>
      <c r="E17" s="29">
        <f>IF(OR(C17="",D17=""),"",ROUND(D17-C17,2))</f>
        <v/>
      </c>
      <c r="F17" s="29">
        <f>IF(E17="","",IF(E17=0,"",ABS(E17)))</f>
        <v/>
      </c>
      <c r="G17" s="38">
        <f>IF(F17="","",COUNTIF($F$9:$F$58,"&lt;"&amp;F17)+(COUNTIF($F$9:$F$58,F17)+1)/2)</f>
        <v/>
      </c>
      <c r="H17" s="38">
        <f>IF(G17="","",IF(E17&gt;0,G17,-G17))</f>
        <v/>
      </c>
      <c r="J17" s="39" t="inlineStr">
        <is>
          <t>Rata-rata selisih B − A (dtk)</t>
        </is>
      </c>
      <c r="K17" s="29">
        <f>IFERROR(AVERAGE(E9:E58),"")</f>
        <v/>
      </c>
      <c r="M17" s="40" t="n">
        <v>14</v>
      </c>
      <c r="N17" s="40" t="n">
        <v>21</v>
      </c>
    </row>
    <row r="18">
      <c r="B18" s="24" t="inlineStr">
        <is>
          <t>08min_01</t>
        </is>
      </c>
      <c r="C18" s="29">
        <f>IF($B18="","",IFERROR(AVERAGEIFS('Data Pengujian'!$N$6:$N$505,'Data Pengujian'!$C$6:$C$505,$C$4,'Data Pengujian'!$E$6:$E$505,$B18,'Data Pengujian'!$Q$6:$Q$505,"SUCCESS"),""))</f>
        <v/>
      </c>
      <c r="D18" s="29">
        <f>IF($B18="","",IFERROR(AVERAGEIFS('Data Pengujian'!$N$6:$N$505,'Data Pengujian'!$C$6:$C$505,$C$5,'Data Pengujian'!$E$6:$E$505,$B18,'Data Pengujian'!$Q$6:$Q$505,"SUCCESS"),""))</f>
        <v/>
      </c>
      <c r="E18" s="29">
        <f>IF(OR(C18="",D18=""),"",ROUND(D18-C18,2))</f>
        <v/>
      </c>
      <c r="F18" s="29">
        <f>IF(E18="","",IF(E18=0,"",ABS(E18)))</f>
        <v/>
      </c>
      <c r="G18" s="38">
        <f>IF(F18="","",COUNTIF($F$9:$F$58,"&lt;"&amp;F18)+(COUNTIF($F$9:$F$58,F18)+1)/2)</f>
        <v/>
      </c>
      <c r="H18" s="38">
        <f>IF(G18="","",IF(E18&gt;0,G18,-G18))</f>
        <v/>
      </c>
      <c r="J18" s="39" t="inlineStr">
        <is>
          <t>z (aproksimasi normal, koreksi kontinuitas)</t>
        </is>
      </c>
      <c r="K18" s="41">
        <f>IF(K9&lt;6,"",(K12-K9*(K9+1)/4+0.5)/SQRT(K9*(K9+1)*(2*K9+1)/24))</f>
        <v/>
      </c>
      <c r="M18" s="40" t="n">
        <v>15</v>
      </c>
      <c r="N18" s="40" t="n">
        <v>25</v>
      </c>
    </row>
    <row r="19">
      <c r="B19" s="24" t="inlineStr">
        <is>
          <t>08min_02</t>
        </is>
      </c>
      <c r="C19" s="29">
        <f>IF($B19="","",IFERROR(AVERAGEIFS('Data Pengujian'!$N$6:$N$505,'Data Pengujian'!$C$6:$C$505,$C$4,'Data Pengujian'!$E$6:$E$505,$B19,'Data Pengujian'!$Q$6:$Q$505,"SUCCESS"),""))</f>
        <v/>
      </c>
      <c r="D19" s="29">
        <f>IF($B19="","",IFERROR(AVERAGEIFS('Data Pengujian'!$N$6:$N$505,'Data Pengujian'!$C$6:$C$505,$C$5,'Data Pengujian'!$E$6:$E$505,$B19,'Data Pengujian'!$Q$6:$Q$505,"SUCCESS"),""))</f>
        <v/>
      </c>
      <c r="E19" s="29">
        <f>IF(OR(C19="",D19=""),"",ROUND(D19-C19,2))</f>
        <v/>
      </c>
      <c r="F19" s="29">
        <f>IF(E19="","",IF(E19=0,"",ABS(E19)))</f>
        <v/>
      </c>
      <c r="G19" s="38">
        <f>IF(F19="","",COUNTIF($F$9:$F$58,"&lt;"&amp;F19)+(COUNTIF($F$9:$F$58,F19)+1)/2)</f>
        <v/>
      </c>
      <c r="H19" s="38">
        <f>IF(G19="","",IF(E19&gt;0,G19,-G19))</f>
        <v/>
      </c>
      <c r="J19" s="39" t="inlineStr">
        <is>
          <t>p (aproksimasi normal, dua arah)</t>
        </is>
      </c>
      <c r="K19" s="42">
        <f>IF(K18="","",MIN(1,2*NORMSDIST(K18)))</f>
        <v/>
      </c>
      <c r="M19" s="40" t="n">
        <v>16</v>
      </c>
      <c r="N19" s="40" t="n">
        <v>29</v>
      </c>
    </row>
    <row r="20">
      <c r="B20" s="24" t="inlineStr">
        <is>
          <t>08min_03</t>
        </is>
      </c>
      <c r="C20" s="29">
        <f>IF($B20="","",IFERROR(AVERAGEIFS('Data Pengujian'!$N$6:$N$505,'Data Pengujian'!$C$6:$C$505,$C$4,'Data Pengujian'!$E$6:$E$505,$B20,'Data Pengujian'!$Q$6:$Q$505,"SUCCESS"),""))</f>
        <v/>
      </c>
      <c r="D20" s="29">
        <f>IF($B20="","",IFERROR(AVERAGEIFS('Data Pengujian'!$N$6:$N$505,'Data Pengujian'!$C$6:$C$505,$C$5,'Data Pengujian'!$E$6:$E$505,$B20,'Data Pengujian'!$Q$6:$Q$505,"SUCCESS"),""))</f>
        <v/>
      </c>
      <c r="E20" s="29">
        <f>IF(OR(C20="",D20=""),"",ROUND(D20-C20,2))</f>
        <v/>
      </c>
      <c r="F20" s="29">
        <f>IF(E20="","",IF(E20=0,"",ABS(E20)))</f>
        <v/>
      </c>
      <c r="G20" s="38">
        <f>IF(F20="","",COUNTIF($F$9:$F$58,"&lt;"&amp;F20)+(COUNTIF($F$9:$F$58,F20)+1)/2)</f>
        <v/>
      </c>
      <c r="H20" s="38">
        <f>IF(G20="","",IF(E20&gt;0,G20,-G20))</f>
        <v/>
      </c>
      <c r="M20" s="40" t="n">
        <v>17</v>
      </c>
      <c r="N20" s="40" t="n">
        <v>34</v>
      </c>
    </row>
    <row r="21">
      <c r="B21" s="24" t="n"/>
      <c r="C21" s="29">
        <f>IF($B21="","",IFERROR(AVERAGEIFS('Data Pengujian'!$N$6:$N$505,'Data Pengujian'!$C$6:$C$505,$C$4,'Data Pengujian'!$E$6:$E$505,$B21,'Data Pengujian'!$Q$6:$Q$505,"SUCCESS"),""))</f>
        <v/>
      </c>
      <c r="D21" s="29">
        <f>IF($B21="","",IFERROR(AVERAGEIFS('Data Pengujian'!$N$6:$N$505,'Data Pengujian'!$C$6:$C$505,$C$5,'Data Pengujian'!$E$6:$E$505,$B21,'Data Pengujian'!$Q$6:$Q$505,"SUCCESS"),""))</f>
        <v/>
      </c>
      <c r="E21" s="29">
        <f>IF(OR(C21="",D21=""),"",ROUND(D21-C21,2))</f>
        <v/>
      </c>
      <c r="F21" s="29">
        <f>IF(E21="","",IF(E21=0,"",ABS(E21)))</f>
        <v/>
      </c>
      <c r="G21" s="38">
        <f>IF(F21="","",COUNTIF($F$9:$F$58,"&lt;"&amp;F21)+(COUNTIF($F$9:$F$58,F21)+1)/2)</f>
        <v/>
      </c>
      <c r="H21" s="38">
        <f>IF(G21="","",IF(E21&gt;0,G21,-G21))</f>
        <v/>
      </c>
      <c r="J21" s="2" t="inlineStr">
        <is>
          <t>Cara baca: jika W ≤ nilai kritis, perbedaan Label A vs B signifikan pada α = 0,05.</t>
        </is>
      </c>
      <c r="M21" s="40" t="n">
        <v>18</v>
      </c>
      <c r="N21" s="40" t="n">
        <v>40</v>
      </c>
    </row>
    <row r="22">
      <c r="B22" s="24" t="n"/>
      <c r="C22" s="29">
        <f>IF($B22="","",IFERROR(AVERAGEIFS('Data Pengujian'!$N$6:$N$505,'Data Pengujian'!$C$6:$C$505,$C$4,'Data Pengujian'!$E$6:$E$505,$B22,'Data Pengujian'!$Q$6:$Q$505,"SUCCESS"),""))</f>
        <v/>
      </c>
      <c r="D22" s="29">
        <f>IF($B22="","",IFERROR(AVERAGEIFS('Data Pengujian'!$N$6:$N$505,'Data Pengujian'!$C$6:$C$505,$C$5,'Data Pengujian'!$E$6:$E$505,$B22,'Data Pengujian'!$Q$6:$Q$505,"SUCCESS"),""))</f>
        <v/>
      </c>
      <c r="E22" s="29">
        <f>IF(OR(C22="",D22=""),"",ROUND(D22-C22,2))</f>
        <v/>
      </c>
      <c r="F22" s="29">
        <f>IF(E22="","",IF(E22=0,"",ABS(E22)))</f>
        <v/>
      </c>
      <c r="G22" s="38">
        <f>IF(F22="","",COUNTIF($F$9:$F$58,"&lt;"&amp;F22)+(COUNTIF($F$9:$F$58,F22)+1)/2)</f>
        <v/>
      </c>
      <c r="H22" s="38">
        <f>IF(G22="","",IF(E22&gt;0,G22,-G22))</f>
        <v/>
      </c>
      <c r="J22" s="2" t="inlineStr">
        <is>
          <t>Kesimpulan memakai tabel nilai kritis exact (kolom M–N). p aproksimasi normal hanya pelengkap; cukup akurat untuk n ≥ 10.</t>
        </is>
      </c>
      <c r="M22" s="40" t="n">
        <v>19</v>
      </c>
      <c r="N22" s="40" t="n">
        <v>46</v>
      </c>
    </row>
    <row r="23">
      <c r="B23" s="24" t="n"/>
      <c r="C23" s="29">
        <f>IF($B23="","",IFERROR(AVERAGEIFS('Data Pengujian'!$N$6:$N$505,'Data Pengujian'!$C$6:$C$505,$C$4,'Data Pengujian'!$E$6:$E$505,$B23,'Data Pengujian'!$Q$6:$Q$505,"SUCCESS"),""))</f>
        <v/>
      </c>
      <c r="D23" s="29">
        <f>IF($B23="","",IFERROR(AVERAGEIFS('Data Pengujian'!$N$6:$N$505,'Data Pengujian'!$C$6:$C$505,$C$5,'Data Pengujian'!$E$6:$E$505,$B23,'Data Pengujian'!$Q$6:$Q$505,"SUCCESS"),""))</f>
        <v/>
      </c>
      <c r="E23" s="29">
        <f>IF(OR(C23="",D23=""),"",ROUND(D23-C23,2))</f>
        <v/>
      </c>
      <c r="F23" s="29">
        <f>IF(E23="","",IF(E23=0,"",ABS(E23)))</f>
        <v/>
      </c>
      <c r="G23" s="38">
        <f>IF(F23="","",COUNTIF($F$9:$F$58,"&lt;"&amp;F23)+(COUNTIF($F$9:$F$58,F23)+1)/2)</f>
        <v/>
      </c>
      <c r="H23" s="38">
        <f>IF(G23="","",IF(E23&gt;0,G23,-G23))</f>
        <v/>
      </c>
      <c r="J23" s="2" t="inlineStr">
        <is>
          <t>Pasangan dengan selisih 0 diabaikan (prosedur Wilcoxon). Peringkat yang sama diberi rata-rata peringkat.</t>
        </is>
      </c>
      <c r="M23" s="40" t="n">
        <v>20</v>
      </c>
      <c r="N23" s="40" t="n">
        <v>52</v>
      </c>
    </row>
    <row r="24">
      <c r="B24" s="24" t="n"/>
      <c r="C24" s="29">
        <f>IF($B24="","",IFERROR(AVERAGEIFS('Data Pengujian'!$N$6:$N$505,'Data Pengujian'!$C$6:$C$505,$C$4,'Data Pengujian'!$E$6:$E$505,$B24,'Data Pengujian'!$Q$6:$Q$505,"SUCCESS"),""))</f>
        <v/>
      </c>
      <c r="D24" s="29">
        <f>IF($B24="","",IFERROR(AVERAGEIFS('Data Pengujian'!$N$6:$N$505,'Data Pengujian'!$C$6:$C$505,$C$5,'Data Pengujian'!$E$6:$E$505,$B24,'Data Pengujian'!$Q$6:$Q$505,"SUCCESS"),""))</f>
        <v/>
      </c>
      <c r="E24" s="29">
        <f>IF(OR(C24="",D24=""),"",ROUND(D24-C24,2))</f>
        <v/>
      </c>
      <c r="F24" s="29">
        <f>IF(E24="","",IF(E24=0,"",ABS(E24)))</f>
        <v/>
      </c>
      <c r="G24" s="38">
        <f>IF(F24="","",COUNTIF($F$9:$F$58,"&lt;"&amp;F24)+(COUNTIF($F$9:$F$58,F24)+1)/2)</f>
        <v/>
      </c>
      <c r="H24" s="38">
        <f>IF(G24="","",IF(E24&gt;0,G24,-G24))</f>
        <v/>
      </c>
      <c r="J24" s="2" t="inlineStr">
        <is>
          <t>Kode sampel di kolom B harus sama dengan Kode Sampel di sheet Data Pengujian. Kolom B boleh diubah atau ditambah.</t>
        </is>
      </c>
      <c r="M24" s="40" t="n">
        <v>21</v>
      </c>
      <c r="N24" s="40" t="n">
        <v>58</v>
      </c>
    </row>
    <row r="25">
      <c r="B25" s="24" t="n"/>
      <c r="C25" s="29">
        <f>IF($B25="","",IFERROR(AVERAGEIFS('Data Pengujian'!$N$6:$N$505,'Data Pengujian'!$C$6:$C$505,$C$4,'Data Pengujian'!$E$6:$E$505,$B25,'Data Pengujian'!$Q$6:$Q$505,"SUCCESS"),""))</f>
        <v/>
      </c>
      <c r="D25" s="29">
        <f>IF($B25="","",IFERROR(AVERAGEIFS('Data Pengujian'!$N$6:$N$505,'Data Pengujian'!$C$6:$C$505,$C$5,'Data Pengujian'!$E$6:$E$505,$B25,'Data Pengujian'!$Q$6:$Q$505,"SUCCESS"),""))</f>
        <v/>
      </c>
      <c r="E25" s="29">
        <f>IF(OR(C25="",D25=""),"",ROUND(D25-C25,2))</f>
        <v/>
      </c>
      <c r="F25" s="29">
        <f>IF(E25="","",IF(E25=0,"",ABS(E25)))</f>
        <v/>
      </c>
      <c r="G25" s="38">
        <f>IF(F25="","",COUNTIF($F$9:$F$58,"&lt;"&amp;F25)+(COUNTIF($F$9:$F$58,F25)+1)/2)</f>
        <v/>
      </c>
      <c r="H25" s="38">
        <f>IF(G25="","",IF(E25&gt;0,G25,-G25))</f>
        <v/>
      </c>
      <c r="M25" s="40" t="n">
        <v>22</v>
      </c>
      <c r="N25" s="40" t="n">
        <v>65</v>
      </c>
    </row>
    <row r="26">
      <c r="B26" s="24" t="n"/>
      <c r="C26" s="29">
        <f>IF($B26="","",IFERROR(AVERAGEIFS('Data Pengujian'!$N$6:$N$505,'Data Pengujian'!$C$6:$C$505,$C$4,'Data Pengujian'!$E$6:$E$505,$B26,'Data Pengujian'!$Q$6:$Q$505,"SUCCESS"),""))</f>
        <v/>
      </c>
      <c r="D26" s="29">
        <f>IF($B26="","",IFERROR(AVERAGEIFS('Data Pengujian'!$N$6:$N$505,'Data Pengujian'!$C$6:$C$505,$C$5,'Data Pengujian'!$E$6:$E$505,$B26,'Data Pengujian'!$Q$6:$Q$505,"SUCCESS"),""))</f>
        <v/>
      </c>
      <c r="E26" s="29">
        <f>IF(OR(C26="",D26=""),"",ROUND(D26-C26,2))</f>
        <v/>
      </c>
      <c r="F26" s="29">
        <f>IF(E26="","",IF(E26=0,"",ABS(E26)))</f>
        <v/>
      </c>
      <c r="G26" s="38">
        <f>IF(F26="","",COUNTIF($F$9:$F$58,"&lt;"&amp;F26)+(COUNTIF($F$9:$F$58,F26)+1)/2)</f>
        <v/>
      </c>
      <c r="H26" s="38">
        <f>IF(G26="","",IF(E26&gt;0,G26,-G26))</f>
        <v/>
      </c>
      <c r="M26" s="40" t="n">
        <v>23</v>
      </c>
      <c r="N26" s="40" t="n">
        <v>73</v>
      </c>
    </row>
    <row r="27">
      <c r="B27" s="24" t="n"/>
      <c r="C27" s="29">
        <f>IF($B27="","",IFERROR(AVERAGEIFS('Data Pengujian'!$N$6:$N$505,'Data Pengujian'!$C$6:$C$505,$C$4,'Data Pengujian'!$E$6:$E$505,$B27,'Data Pengujian'!$Q$6:$Q$505,"SUCCESS"),""))</f>
        <v/>
      </c>
      <c r="D27" s="29">
        <f>IF($B27="","",IFERROR(AVERAGEIFS('Data Pengujian'!$N$6:$N$505,'Data Pengujian'!$C$6:$C$505,$C$5,'Data Pengujian'!$E$6:$E$505,$B27,'Data Pengujian'!$Q$6:$Q$505,"SUCCESS"),""))</f>
        <v/>
      </c>
      <c r="E27" s="29">
        <f>IF(OR(C27="",D27=""),"",ROUND(D27-C27,2))</f>
        <v/>
      </c>
      <c r="F27" s="29">
        <f>IF(E27="","",IF(E27=0,"",ABS(E27)))</f>
        <v/>
      </c>
      <c r="G27" s="38">
        <f>IF(F27="","",COUNTIF($F$9:$F$58,"&lt;"&amp;F27)+(COUNTIF($F$9:$F$58,F27)+1)/2)</f>
        <v/>
      </c>
      <c r="H27" s="38">
        <f>IF(G27="","",IF(E27&gt;0,G27,-G27))</f>
        <v/>
      </c>
      <c r="M27" s="40" t="n">
        <v>24</v>
      </c>
      <c r="N27" s="40" t="n">
        <v>81</v>
      </c>
    </row>
    <row r="28">
      <c r="B28" s="24" t="n"/>
      <c r="C28" s="29">
        <f>IF($B28="","",IFERROR(AVERAGEIFS('Data Pengujian'!$N$6:$N$505,'Data Pengujian'!$C$6:$C$505,$C$4,'Data Pengujian'!$E$6:$E$505,$B28,'Data Pengujian'!$Q$6:$Q$505,"SUCCESS"),""))</f>
        <v/>
      </c>
      <c r="D28" s="29">
        <f>IF($B28="","",IFERROR(AVERAGEIFS('Data Pengujian'!$N$6:$N$505,'Data Pengujian'!$C$6:$C$505,$C$5,'Data Pengujian'!$E$6:$E$505,$B28,'Data Pengujian'!$Q$6:$Q$505,"SUCCESS"),""))</f>
        <v/>
      </c>
      <c r="E28" s="29">
        <f>IF(OR(C28="",D28=""),"",ROUND(D28-C28,2))</f>
        <v/>
      </c>
      <c r="F28" s="29">
        <f>IF(E28="","",IF(E28=0,"",ABS(E28)))</f>
        <v/>
      </c>
      <c r="G28" s="38">
        <f>IF(F28="","",COUNTIF($F$9:$F$58,"&lt;"&amp;F28)+(COUNTIF($F$9:$F$58,F28)+1)/2)</f>
        <v/>
      </c>
      <c r="H28" s="38">
        <f>IF(G28="","",IF(E28&gt;0,G28,-G28))</f>
        <v/>
      </c>
      <c r="M28" s="40" t="n">
        <v>25</v>
      </c>
      <c r="N28" s="40" t="n">
        <v>89</v>
      </c>
    </row>
    <row r="29">
      <c r="B29" s="24" t="n"/>
      <c r="C29" s="29">
        <f>IF($B29="","",IFERROR(AVERAGEIFS('Data Pengujian'!$N$6:$N$505,'Data Pengujian'!$C$6:$C$505,$C$4,'Data Pengujian'!$E$6:$E$505,$B29,'Data Pengujian'!$Q$6:$Q$505,"SUCCESS"),""))</f>
        <v/>
      </c>
      <c r="D29" s="29">
        <f>IF($B29="","",IFERROR(AVERAGEIFS('Data Pengujian'!$N$6:$N$505,'Data Pengujian'!$C$6:$C$505,$C$5,'Data Pengujian'!$E$6:$E$505,$B29,'Data Pengujian'!$Q$6:$Q$505,"SUCCESS"),""))</f>
        <v/>
      </c>
      <c r="E29" s="29">
        <f>IF(OR(C29="",D29=""),"",ROUND(D29-C29,2))</f>
        <v/>
      </c>
      <c r="F29" s="29">
        <f>IF(E29="","",IF(E29=0,"",ABS(E29)))</f>
        <v/>
      </c>
      <c r="G29" s="38">
        <f>IF(F29="","",COUNTIF($F$9:$F$58,"&lt;"&amp;F29)+(COUNTIF($F$9:$F$58,F29)+1)/2)</f>
        <v/>
      </c>
      <c r="H29" s="38">
        <f>IF(G29="","",IF(E29&gt;0,G29,-G29))</f>
        <v/>
      </c>
      <c r="M29" s="40" t="n">
        <v>26</v>
      </c>
      <c r="N29" s="40" t="n">
        <v>98</v>
      </c>
    </row>
    <row r="30">
      <c r="B30" s="24" t="n"/>
      <c r="C30" s="29">
        <f>IF($B30="","",IFERROR(AVERAGEIFS('Data Pengujian'!$N$6:$N$505,'Data Pengujian'!$C$6:$C$505,$C$4,'Data Pengujian'!$E$6:$E$505,$B30,'Data Pengujian'!$Q$6:$Q$505,"SUCCESS"),""))</f>
        <v/>
      </c>
      <c r="D30" s="29">
        <f>IF($B30="","",IFERROR(AVERAGEIFS('Data Pengujian'!$N$6:$N$505,'Data Pengujian'!$C$6:$C$505,$C$5,'Data Pengujian'!$E$6:$E$505,$B30,'Data Pengujian'!$Q$6:$Q$505,"SUCCESS"),""))</f>
        <v/>
      </c>
      <c r="E30" s="29">
        <f>IF(OR(C30="",D30=""),"",ROUND(D30-C30,2))</f>
        <v/>
      </c>
      <c r="F30" s="29">
        <f>IF(E30="","",IF(E30=0,"",ABS(E30)))</f>
        <v/>
      </c>
      <c r="G30" s="38">
        <f>IF(F30="","",COUNTIF($F$9:$F$58,"&lt;"&amp;F30)+(COUNTIF($F$9:$F$58,F30)+1)/2)</f>
        <v/>
      </c>
      <c r="H30" s="38">
        <f>IF(G30="","",IF(E30&gt;0,G30,-G30))</f>
        <v/>
      </c>
      <c r="M30" s="40" t="n">
        <v>27</v>
      </c>
      <c r="N30" s="40" t="n">
        <v>107</v>
      </c>
    </row>
    <row r="31">
      <c r="B31" s="24" t="n"/>
      <c r="C31" s="29">
        <f>IF($B31="","",IFERROR(AVERAGEIFS('Data Pengujian'!$N$6:$N$505,'Data Pengujian'!$C$6:$C$505,$C$4,'Data Pengujian'!$E$6:$E$505,$B31,'Data Pengujian'!$Q$6:$Q$505,"SUCCESS"),""))</f>
        <v/>
      </c>
      <c r="D31" s="29">
        <f>IF($B31="","",IFERROR(AVERAGEIFS('Data Pengujian'!$N$6:$N$505,'Data Pengujian'!$C$6:$C$505,$C$5,'Data Pengujian'!$E$6:$E$505,$B31,'Data Pengujian'!$Q$6:$Q$505,"SUCCESS"),""))</f>
        <v/>
      </c>
      <c r="E31" s="29">
        <f>IF(OR(C31="",D31=""),"",ROUND(D31-C31,2))</f>
        <v/>
      </c>
      <c r="F31" s="29">
        <f>IF(E31="","",IF(E31=0,"",ABS(E31)))</f>
        <v/>
      </c>
      <c r="G31" s="38">
        <f>IF(F31="","",COUNTIF($F$9:$F$58,"&lt;"&amp;F31)+(COUNTIF($F$9:$F$58,F31)+1)/2)</f>
        <v/>
      </c>
      <c r="H31" s="38">
        <f>IF(G31="","",IF(E31&gt;0,G31,-G31))</f>
        <v/>
      </c>
      <c r="M31" s="40" t="n">
        <v>28</v>
      </c>
      <c r="N31" s="40" t="n">
        <v>116</v>
      </c>
    </row>
    <row r="32">
      <c r="B32" s="24" t="n"/>
      <c r="C32" s="29">
        <f>IF($B32="","",IFERROR(AVERAGEIFS('Data Pengujian'!$N$6:$N$505,'Data Pengujian'!$C$6:$C$505,$C$4,'Data Pengujian'!$E$6:$E$505,$B32,'Data Pengujian'!$Q$6:$Q$505,"SUCCESS"),""))</f>
        <v/>
      </c>
      <c r="D32" s="29">
        <f>IF($B32="","",IFERROR(AVERAGEIFS('Data Pengujian'!$N$6:$N$505,'Data Pengujian'!$C$6:$C$505,$C$5,'Data Pengujian'!$E$6:$E$505,$B32,'Data Pengujian'!$Q$6:$Q$505,"SUCCESS"),""))</f>
        <v/>
      </c>
      <c r="E32" s="29">
        <f>IF(OR(C32="",D32=""),"",ROUND(D32-C32,2))</f>
        <v/>
      </c>
      <c r="F32" s="29">
        <f>IF(E32="","",IF(E32=0,"",ABS(E32)))</f>
        <v/>
      </c>
      <c r="G32" s="38">
        <f>IF(F32="","",COUNTIF($F$9:$F$58,"&lt;"&amp;F32)+(COUNTIF($F$9:$F$58,F32)+1)/2)</f>
        <v/>
      </c>
      <c r="H32" s="38">
        <f>IF(G32="","",IF(E32&gt;0,G32,-G32))</f>
        <v/>
      </c>
      <c r="M32" s="40" t="n">
        <v>29</v>
      </c>
      <c r="N32" s="40" t="n">
        <v>126</v>
      </c>
    </row>
    <row r="33">
      <c r="B33" s="24" t="n"/>
      <c r="C33" s="29">
        <f>IF($B33="","",IFERROR(AVERAGEIFS('Data Pengujian'!$N$6:$N$505,'Data Pengujian'!$C$6:$C$505,$C$4,'Data Pengujian'!$E$6:$E$505,$B33,'Data Pengujian'!$Q$6:$Q$505,"SUCCESS"),""))</f>
        <v/>
      </c>
      <c r="D33" s="29">
        <f>IF($B33="","",IFERROR(AVERAGEIFS('Data Pengujian'!$N$6:$N$505,'Data Pengujian'!$C$6:$C$505,$C$5,'Data Pengujian'!$E$6:$E$505,$B33,'Data Pengujian'!$Q$6:$Q$505,"SUCCESS"),""))</f>
        <v/>
      </c>
      <c r="E33" s="29">
        <f>IF(OR(C33="",D33=""),"",ROUND(D33-C33,2))</f>
        <v/>
      </c>
      <c r="F33" s="29">
        <f>IF(E33="","",IF(E33=0,"",ABS(E33)))</f>
        <v/>
      </c>
      <c r="G33" s="38">
        <f>IF(F33="","",COUNTIF($F$9:$F$58,"&lt;"&amp;F33)+(COUNTIF($F$9:$F$58,F33)+1)/2)</f>
        <v/>
      </c>
      <c r="H33" s="38">
        <f>IF(G33="","",IF(E33&gt;0,G33,-G33))</f>
        <v/>
      </c>
      <c r="M33" s="40" t="n">
        <v>30</v>
      </c>
      <c r="N33" s="40" t="n">
        <v>137</v>
      </c>
    </row>
    <row r="34">
      <c r="B34" s="24" t="n"/>
      <c r="C34" s="29">
        <f>IF($B34="","",IFERROR(AVERAGEIFS('Data Pengujian'!$N$6:$N$505,'Data Pengujian'!$C$6:$C$505,$C$4,'Data Pengujian'!$E$6:$E$505,$B34,'Data Pengujian'!$Q$6:$Q$505,"SUCCESS"),""))</f>
        <v/>
      </c>
      <c r="D34" s="29">
        <f>IF($B34="","",IFERROR(AVERAGEIFS('Data Pengujian'!$N$6:$N$505,'Data Pengujian'!$C$6:$C$505,$C$5,'Data Pengujian'!$E$6:$E$505,$B34,'Data Pengujian'!$Q$6:$Q$505,"SUCCESS"),""))</f>
        <v/>
      </c>
      <c r="E34" s="29">
        <f>IF(OR(C34="",D34=""),"",ROUND(D34-C34,2))</f>
        <v/>
      </c>
      <c r="F34" s="29">
        <f>IF(E34="","",IF(E34=0,"",ABS(E34)))</f>
        <v/>
      </c>
      <c r="G34" s="38">
        <f>IF(F34="","",COUNTIF($F$9:$F$58,"&lt;"&amp;F34)+(COUNTIF($F$9:$F$58,F34)+1)/2)</f>
        <v/>
      </c>
      <c r="H34" s="38">
        <f>IF(G34="","",IF(E34&gt;0,G34,-G34))</f>
        <v/>
      </c>
      <c r="M34" s="40" t="n">
        <v>31</v>
      </c>
      <c r="N34" s="40" t="n">
        <v>147</v>
      </c>
    </row>
    <row r="35">
      <c r="B35" s="24" t="n"/>
      <c r="C35" s="29">
        <f>IF($B35="","",IFERROR(AVERAGEIFS('Data Pengujian'!$N$6:$N$505,'Data Pengujian'!$C$6:$C$505,$C$4,'Data Pengujian'!$E$6:$E$505,$B35,'Data Pengujian'!$Q$6:$Q$505,"SUCCESS"),""))</f>
        <v/>
      </c>
      <c r="D35" s="29">
        <f>IF($B35="","",IFERROR(AVERAGEIFS('Data Pengujian'!$N$6:$N$505,'Data Pengujian'!$C$6:$C$505,$C$5,'Data Pengujian'!$E$6:$E$505,$B35,'Data Pengujian'!$Q$6:$Q$505,"SUCCESS"),""))</f>
        <v/>
      </c>
      <c r="E35" s="29">
        <f>IF(OR(C35="",D35=""),"",ROUND(D35-C35,2))</f>
        <v/>
      </c>
      <c r="F35" s="29">
        <f>IF(E35="","",IF(E35=0,"",ABS(E35)))</f>
        <v/>
      </c>
      <c r="G35" s="38">
        <f>IF(F35="","",COUNTIF($F$9:$F$58,"&lt;"&amp;F35)+(COUNTIF($F$9:$F$58,F35)+1)/2)</f>
        <v/>
      </c>
      <c r="H35" s="38">
        <f>IF(G35="","",IF(E35&gt;0,G35,-G35))</f>
        <v/>
      </c>
      <c r="M35" s="40" t="n">
        <v>32</v>
      </c>
      <c r="N35" s="40" t="n">
        <v>159</v>
      </c>
    </row>
    <row r="36">
      <c r="B36" s="24" t="n"/>
      <c r="C36" s="29">
        <f>IF($B36="","",IFERROR(AVERAGEIFS('Data Pengujian'!$N$6:$N$505,'Data Pengujian'!$C$6:$C$505,$C$4,'Data Pengujian'!$E$6:$E$505,$B36,'Data Pengujian'!$Q$6:$Q$505,"SUCCESS"),""))</f>
        <v/>
      </c>
      <c r="D36" s="29">
        <f>IF($B36="","",IFERROR(AVERAGEIFS('Data Pengujian'!$N$6:$N$505,'Data Pengujian'!$C$6:$C$505,$C$5,'Data Pengujian'!$E$6:$E$505,$B36,'Data Pengujian'!$Q$6:$Q$505,"SUCCESS"),""))</f>
        <v/>
      </c>
      <c r="E36" s="29">
        <f>IF(OR(C36="",D36=""),"",ROUND(D36-C36,2))</f>
        <v/>
      </c>
      <c r="F36" s="29">
        <f>IF(E36="","",IF(E36=0,"",ABS(E36)))</f>
        <v/>
      </c>
      <c r="G36" s="38">
        <f>IF(F36="","",COUNTIF($F$9:$F$58,"&lt;"&amp;F36)+(COUNTIF($F$9:$F$58,F36)+1)/2)</f>
        <v/>
      </c>
      <c r="H36" s="38">
        <f>IF(G36="","",IF(E36&gt;0,G36,-G36))</f>
        <v/>
      </c>
      <c r="M36" s="40" t="n">
        <v>33</v>
      </c>
      <c r="N36" s="40" t="n">
        <v>170</v>
      </c>
    </row>
    <row r="37">
      <c r="B37" s="24" t="n"/>
      <c r="C37" s="29">
        <f>IF($B37="","",IFERROR(AVERAGEIFS('Data Pengujian'!$N$6:$N$505,'Data Pengujian'!$C$6:$C$505,$C$4,'Data Pengujian'!$E$6:$E$505,$B37,'Data Pengujian'!$Q$6:$Q$505,"SUCCESS"),""))</f>
        <v/>
      </c>
      <c r="D37" s="29">
        <f>IF($B37="","",IFERROR(AVERAGEIFS('Data Pengujian'!$N$6:$N$505,'Data Pengujian'!$C$6:$C$505,$C$5,'Data Pengujian'!$E$6:$E$505,$B37,'Data Pengujian'!$Q$6:$Q$505,"SUCCESS"),""))</f>
        <v/>
      </c>
      <c r="E37" s="29">
        <f>IF(OR(C37="",D37=""),"",ROUND(D37-C37,2))</f>
        <v/>
      </c>
      <c r="F37" s="29">
        <f>IF(E37="","",IF(E37=0,"",ABS(E37)))</f>
        <v/>
      </c>
      <c r="G37" s="38">
        <f>IF(F37="","",COUNTIF($F$9:$F$58,"&lt;"&amp;F37)+(COUNTIF($F$9:$F$58,F37)+1)/2)</f>
        <v/>
      </c>
      <c r="H37" s="38">
        <f>IF(G37="","",IF(E37&gt;0,G37,-G37))</f>
        <v/>
      </c>
      <c r="M37" s="40" t="n">
        <v>34</v>
      </c>
      <c r="N37" s="40" t="n">
        <v>182</v>
      </c>
    </row>
    <row r="38">
      <c r="B38" s="24" t="n"/>
      <c r="C38" s="29">
        <f>IF($B38="","",IFERROR(AVERAGEIFS('Data Pengujian'!$N$6:$N$505,'Data Pengujian'!$C$6:$C$505,$C$4,'Data Pengujian'!$E$6:$E$505,$B38,'Data Pengujian'!$Q$6:$Q$505,"SUCCESS"),""))</f>
        <v/>
      </c>
      <c r="D38" s="29">
        <f>IF($B38="","",IFERROR(AVERAGEIFS('Data Pengujian'!$N$6:$N$505,'Data Pengujian'!$C$6:$C$505,$C$5,'Data Pengujian'!$E$6:$E$505,$B38,'Data Pengujian'!$Q$6:$Q$505,"SUCCESS"),""))</f>
        <v/>
      </c>
      <c r="E38" s="29">
        <f>IF(OR(C38="",D38=""),"",ROUND(D38-C38,2))</f>
        <v/>
      </c>
      <c r="F38" s="29">
        <f>IF(E38="","",IF(E38=0,"",ABS(E38)))</f>
        <v/>
      </c>
      <c r="G38" s="38">
        <f>IF(F38="","",COUNTIF($F$9:$F$58,"&lt;"&amp;F38)+(COUNTIF($F$9:$F$58,F38)+1)/2)</f>
        <v/>
      </c>
      <c r="H38" s="38">
        <f>IF(G38="","",IF(E38&gt;0,G38,-G38))</f>
        <v/>
      </c>
      <c r="M38" s="40" t="n">
        <v>35</v>
      </c>
      <c r="N38" s="40" t="n">
        <v>195</v>
      </c>
    </row>
    <row r="39">
      <c r="B39" s="24" t="n"/>
      <c r="C39" s="29">
        <f>IF($B39="","",IFERROR(AVERAGEIFS('Data Pengujian'!$N$6:$N$505,'Data Pengujian'!$C$6:$C$505,$C$4,'Data Pengujian'!$E$6:$E$505,$B39,'Data Pengujian'!$Q$6:$Q$505,"SUCCESS"),""))</f>
        <v/>
      </c>
      <c r="D39" s="29">
        <f>IF($B39="","",IFERROR(AVERAGEIFS('Data Pengujian'!$N$6:$N$505,'Data Pengujian'!$C$6:$C$505,$C$5,'Data Pengujian'!$E$6:$E$505,$B39,'Data Pengujian'!$Q$6:$Q$505,"SUCCESS"),""))</f>
        <v/>
      </c>
      <c r="E39" s="29">
        <f>IF(OR(C39="",D39=""),"",ROUND(D39-C39,2))</f>
        <v/>
      </c>
      <c r="F39" s="29">
        <f>IF(E39="","",IF(E39=0,"",ABS(E39)))</f>
        <v/>
      </c>
      <c r="G39" s="38">
        <f>IF(F39="","",COUNTIF($F$9:$F$58,"&lt;"&amp;F39)+(COUNTIF($F$9:$F$58,F39)+1)/2)</f>
        <v/>
      </c>
      <c r="H39" s="38">
        <f>IF(G39="","",IF(E39&gt;0,G39,-G39))</f>
        <v/>
      </c>
      <c r="M39" s="40" t="n">
        <v>36</v>
      </c>
      <c r="N39" s="40" t="n">
        <v>208</v>
      </c>
    </row>
    <row r="40">
      <c r="B40" s="24" t="n"/>
      <c r="C40" s="29">
        <f>IF($B40="","",IFERROR(AVERAGEIFS('Data Pengujian'!$N$6:$N$505,'Data Pengujian'!$C$6:$C$505,$C$4,'Data Pengujian'!$E$6:$E$505,$B40,'Data Pengujian'!$Q$6:$Q$505,"SUCCESS"),""))</f>
        <v/>
      </c>
      <c r="D40" s="29">
        <f>IF($B40="","",IFERROR(AVERAGEIFS('Data Pengujian'!$N$6:$N$505,'Data Pengujian'!$C$6:$C$505,$C$5,'Data Pengujian'!$E$6:$E$505,$B40,'Data Pengujian'!$Q$6:$Q$505,"SUCCESS"),""))</f>
        <v/>
      </c>
      <c r="E40" s="29">
        <f>IF(OR(C40="",D40=""),"",ROUND(D40-C40,2))</f>
        <v/>
      </c>
      <c r="F40" s="29">
        <f>IF(E40="","",IF(E40=0,"",ABS(E40)))</f>
        <v/>
      </c>
      <c r="G40" s="38">
        <f>IF(F40="","",COUNTIF($F$9:$F$58,"&lt;"&amp;F40)+(COUNTIF($F$9:$F$58,F40)+1)/2)</f>
        <v/>
      </c>
      <c r="H40" s="38">
        <f>IF(G40="","",IF(E40&gt;0,G40,-G40))</f>
        <v/>
      </c>
      <c r="M40" s="40" t="n">
        <v>37</v>
      </c>
      <c r="N40" s="40" t="n">
        <v>221</v>
      </c>
    </row>
    <row r="41">
      <c r="B41" s="24" t="n"/>
      <c r="C41" s="29">
        <f>IF($B41="","",IFERROR(AVERAGEIFS('Data Pengujian'!$N$6:$N$505,'Data Pengujian'!$C$6:$C$505,$C$4,'Data Pengujian'!$E$6:$E$505,$B41,'Data Pengujian'!$Q$6:$Q$505,"SUCCESS"),""))</f>
        <v/>
      </c>
      <c r="D41" s="29">
        <f>IF($B41="","",IFERROR(AVERAGEIFS('Data Pengujian'!$N$6:$N$505,'Data Pengujian'!$C$6:$C$505,$C$5,'Data Pengujian'!$E$6:$E$505,$B41,'Data Pengujian'!$Q$6:$Q$505,"SUCCESS"),""))</f>
        <v/>
      </c>
      <c r="E41" s="29">
        <f>IF(OR(C41="",D41=""),"",ROUND(D41-C41,2))</f>
        <v/>
      </c>
      <c r="F41" s="29">
        <f>IF(E41="","",IF(E41=0,"",ABS(E41)))</f>
        <v/>
      </c>
      <c r="G41" s="38">
        <f>IF(F41="","",COUNTIF($F$9:$F$58,"&lt;"&amp;F41)+(COUNTIF($F$9:$F$58,F41)+1)/2)</f>
        <v/>
      </c>
      <c r="H41" s="38">
        <f>IF(G41="","",IF(E41&gt;0,G41,-G41))</f>
        <v/>
      </c>
      <c r="M41" s="40" t="n">
        <v>38</v>
      </c>
      <c r="N41" s="40" t="n">
        <v>235</v>
      </c>
    </row>
    <row r="42">
      <c r="B42" s="24" t="n"/>
      <c r="C42" s="29">
        <f>IF($B42="","",IFERROR(AVERAGEIFS('Data Pengujian'!$N$6:$N$505,'Data Pengujian'!$C$6:$C$505,$C$4,'Data Pengujian'!$E$6:$E$505,$B42,'Data Pengujian'!$Q$6:$Q$505,"SUCCESS"),""))</f>
        <v/>
      </c>
      <c r="D42" s="29">
        <f>IF($B42="","",IFERROR(AVERAGEIFS('Data Pengujian'!$N$6:$N$505,'Data Pengujian'!$C$6:$C$505,$C$5,'Data Pengujian'!$E$6:$E$505,$B42,'Data Pengujian'!$Q$6:$Q$505,"SUCCESS"),""))</f>
        <v/>
      </c>
      <c r="E42" s="29">
        <f>IF(OR(C42="",D42=""),"",ROUND(D42-C42,2))</f>
        <v/>
      </c>
      <c r="F42" s="29">
        <f>IF(E42="","",IF(E42=0,"",ABS(E42)))</f>
        <v/>
      </c>
      <c r="G42" s="38">
        <f>IF(F42="","",COUNTIF($F$9:$F$58,"&lt;"&amp;F42)+(COUNTIF($F$9:$F$58,F42)+1)/2)</f>
        <v/>
      </c>
      <c r="H42" s="38">
        <f>IF(G42="","",IF(E42&gt;0,G42,-G42))</f>
        <v/>
      </c>
      <c r="M42" s="40" t="n">
        <v>39</v>
      </c>
      <c r="N42" s="40" t="n">
        <v>249</v>
      </c>
    </row>
    <row r="43">
      <c r="B43" s="24" t="n"/>
      <c r="C43" s="29">
        <f>IF($B43="","",IFERROR(AVERAGEIFS('Data Pengujian'!$N$6:$N$505,'Data Pengujian'!$C$6:$C$505,$C$4,'Data Pengujian'!$E$6:$E$505,$B43,'Data Pengujian'!$Q$6:$Q$505,"SUCCESS"),""))</f>
        <v/>
      </c>
      <c r="D43" s="29">
        <f>IF($B43="","",IFERROR(AVERAGEIFS('Data Pengujian'!$N$6:$N$505,'Data Pengujian'!$C$6:$C$505,$C$5,'Data Pengujian'!$E$6:$E$505,$B43,'Data Pengujian'!$Q$6:$Q$505,"SUCCESS"),""))</f>
        <v/>
      </c>
      <c r="E43" s="29">
        <f>IF(OR(C43="",D43=""),"",ROUND(D43-C43,2))</f>
        <v/>
      </c>
      <c r="F43" s="29">
        <f>IF(E43="","",IF(E43=0,"",ABS(E43)))</f>
        <v/>
      </c>
      <c r="G43" s="38">
        <f>IF(F43="","",COUNTIF($F$9:$F$58,"&lt;"&amp;F43)+(COUNTIF($F$9:$F$58,F43)+1)/2)</f>
        <v/>
      </c>
      <c r="H43" s="38">
        <f>IF(G43="","",IF(E43&gt;0,G43,-G43))</f>
        <v/>
      </c>
      <c r="M43" s="40" t="n">
        <v>40</v>
      </c>
      <c r="N43" s="40" t="n">
        <v>264</v>
      </c>
    </row>
    <row r="44">
      <c r="B44" s="24" t="n"/>
      <c r="C44" s="29">
        <f>IF($B44="","",IFERROR(AVERAGEIFS('Data Pengujian'!$N$6:$N$505,'Data Pengujian'!$C$6:$C$505,$C$4,'Data Pengujian'!$E$6:$E$505,$B44,'Data Pengujian'!$Q$6:$Q$505,"SUCCESS"),""))</f>
        <v/>
      </c>
      <c r="D44" s="29">
        <f>IF($B44="","",IFERROR(AVERAGEIFS('Data Pengujian'!$N$6:$N$505,'Data Pengujian'!$C$6:$C$505,$C$5,'Data Pengujian'!$E$6:$E$505,$B44,'Data Pengujian'!$Q$6:$Q$505,"SUCCESS"),""))</f>
        <v/>
      </c>
      <c r="E44" s="29">
        <f>IF(OR(C44="",D44=""),"",ROUND(D44-C44,2))</f>
        <v/>
      </c>
      <c r="F44" s="29">
        <f>IF(E44="","",IF(E44=0,"",ABS(E44)))</f>
        <v/>
      </c>
      <c r="G44" s="38">
        <f>IF(F44="","",COUNTIF($F$9:$F$58,"&lt;"&amp;F44)+(COUNTIF($F$9:$F$58,F44)+1)/2)</f>
        <v/>
      </c>
      <c r="H44" s="38">
        <f>IF(G44="","",IF(E44&gt;0,G44,-G44))</f>
        <v/>
      </c>
      <c r="M44" s="40" t="n">
        <v>41</v>
      </c>
      <c r="N44" s="40" t="n">
        <v>279</v>
      </c>
    </row>
    <row r="45">
      <c r="B45" s="24" t="n"/>
      <c r="C45" s="29">
        <f>IF($B45="","",IFERROR(AVERAGEIFS('Data Pengujian'!$N$6:$N$505,'Data Pengujian'!$C$6:$C$505,$C$4,'Data Pengujian'!$E$6:$E$505,$B45,'Data Pengujian'!$Q$6:$Q$505,"SUCCESS"),""))</f>
        <v/>
      </c>
      <c r="D45" s="29">
        <f>IF($B45="","",IFERROR(AVERAGEIFS('Data Pengujian'!$N$6:$N$505,'Data Pengujian'!$C$6:$C$505,$C$5,'Data Pengujian'!$E$6:$E$505,$B45,'Data Pengujian'!$Q$6:$Q$505,"SUCCESS"),""))</f>
        <v/>
      </c>
      <c r="E45" s="29">
        <f>IF(OR(C45="",D45=""),"",ROUND(D45-C45,2))</f>
        <v/>
      </c>
      <c r="F45" s="29">
        <f>IF(E45="","",IF(E45=0,"",ABS(E45)))</f>
        <v/>
      </c>
      <c r="G45" s="38">
        <f>IF(F45="","",COUNTIF($F$9:$F$58,"&lt;"&amp;F45)+(COUNTIF($F$9:$F$58,F45)+1)/2)</f>
        <v/>
      </c>
      <c r="H45" s="38">
        <f>IF(G45="","",IF(E45&gt;0,G45,-G45))</f>
        <v/>
      </c>
      <c r="M45" s="40" t="n">
        <v>42</v>
      </c>
      <c r="N45" s="40" t="n">
        <v>294</v>
      </c>
    </row>
    <row r="46">
      <c r="B46" s="24" t="n"/>
      <c r="C46" s="29">
        <f>IF($B46="","",IFERROR(AVERAGEIFS('Data Pengujian'!$N$6:$N$505,'Data Pengujian'!$C$6:$C$505,$C$4,'Data Pengujian'!$E$6:$E$505,$B46,'Data Pengujian'!$Q$6:$Q$505,"SUCCESS"),""))</f>
        <v/>
      </c>
      <c r="D46" s="29">
        <f>IF($B46="","",IFERROR(AVERAGEIFS('Data Pengujian'!$N$6:$N$505,'Data Pengujian'!$C$6:$C$505,$C$5,'Data Pengujian'!$E$6:$E$505,$B46,'Data Pengujian'!$Q$6:$Q$505,"SUCCESS"),""))</f>
        <v/>
      </c>
      <c r="E46" s="29">
        <f>IF(OR(C46="",D46=""),"",ROUND(D46-C46,2))</f>
        <v/>
      </c>
      <c r="F46" s="29">
        <f>IF(E46="","",IF(E46=0,"",ABS(E46)))</f>
        <v/>
      </c>
      <c r="G46" s="38">
        <f>IF(F46="","",COUNTIF($F$9:$F$58,"&lt;"&amp;F46)+(COUNTIF($F$9:$F$58,F46)+1)/2)</f>
        <v/>
      </c>
      <c r="H46" s="38">
        <f>IF(G46="","",IF(E46&gt;0,G46,-G46))</f>
        <v/>
      </c>
      <c r="M46" s="40" t="n">
        <v>43</v>
      </c>
      <c r="N46" s="40" t="n">
        <v>310</v>
      </c>
    </row>
    <row r="47">
      <c r="B47" s="24" t="n"/>
      <c r="C47" s="29">
        <f>IF($B47="","",IFERROR(AVERAGEIFS('Data Pengujian'!$N$6:$N$505,'Data Pengujian'!$C$6:$C$505,$C$4,'Data Pengujian'!$E$6:$E$505,$B47,'Data Pengujian'!$Q$6:$Q$505,"SUCCESS"),""))</f>
        <v/>
      </c>
      <c r="D47" s="29">
        <f>IF($B47="","",IFERROR(AVERAGEIFS('Data Pengujian'!$N$6:$N$505,'Data Pengujian'!$C$6:$C$505,$C$5,'Data Pengujian'!$E$6:$E$505,$B47,'Data Pengujian'!$Q$6:$Q$505,"SUCCESS"),""))</f>
        <v/>
      </c>
      <c r="E47" s="29">
        <f>IF(OR(C47="",D47=""),"",ROUND(D47-C47,2))</f>
        <v/>
      </c>
      <c r="F47" s="29">
        <f>IF(E47="","",IF(E47=0,"",ABS(E47)))</f>
        <v/>
      </c>
      <c r="G47" s="38">
        <f>IF(F47="","",COUNTIF($F$9:$F$58,"&lt;"&amp;F47)+(COUNTIF($F$9:$F$58,F47)+1)/2)</f>
        <v/>
      </c>
      <c r="H47" s="38">
        <f>IF(G47="","",IF(E47&gt;0,G47,-G47))</f>
        <v/>
      </c>
      <c r="M47" s="40" t="n">
        <v>44</v>
      </c>
      <c r="N47" s="40" t="n">
        <v>327</v>
      </c>
    </row>
    <row r="48">
      <c r="B48" s="24" t="n"/>
      <c r="C48" s="29">
        <f>IF($B48="","",IFERROR(AVERAGEIFS('Data Pengujian'!$N$6:$N$505,'Data Pengujian'!$C$6:$C$505,$C$4,'Data Pengujian'!$E$6:$E$505,$B48,'Data Pengujian'!$Q$6:$Q$505,"SUCCESS"),""))</f>
        <v/>
      </c>
      <c r="D48" s="29">
        <f>IF($B48="","",IFERROR(AVERAGEIFS('Data Pengujian'!$N$6:$N$505,'Data Pengujian'!$C$6:$C$505,$C$5,'Data Pengujian'!$E$6:$E$505,$B48,'Data Pengujian'!$Q$6:$Q$505,"SUCCESS"),""))</f>
        <v/>
      </c>
      <c r="E48" s="29">
        <f>IF(OR(C48="",D48=""),"",ROUND(D48-C48,2))</f>
        <v/>
      </c>
      <c r="F48" s="29">
        <f>IF(E48="","",IF(E48=0,"",ABS(E48)))</f>
        <v/>
      </c>
      <c r="G48" s="38">
        <f>IF(F48="","",COUNTIF($F$9:$F$58,"&lt;"&amp;F48)+(COUNTIF($F$9:$F$58,F48)+1)/2)</f>
        <v/>
      </c>
      <c r="H48" s="38">
        <f>IF(G48="","",IF(E48&gt;0,G48,-G48))</f>
        <v/>
      </c>
      <c r="M48" s="40" t="n">
        <v>45</v>
      </c>
      <c r="N48" s="40" t="n">
        <v>343</v>
      </c>
    </row>
    <row r="49">
      <c r="B49" s="24" t="n"/>
      <c r="C49" s="29">
        <f>IF($B49="","",IFERROR(AVERAGEIFS('Data Pengujian'!$N$6:$N$505,'Data Pengujian'!$C$6:$C$505,$C$4,'Data Pengujian'!$E$6:$E$505,$B49,'Data Pengujian'!$Q$6:$Q$505,"SUCCESS"),""))</f>
        <v/>
      </c>
      <c r="D49" s="29">
        <f>IF($B49="","",IFERROR(AVERAGEIFS('Data Pengujian'!$N$6:$N$505,'Data Pengujian'!$C$6:$C$505,$C$5,'Data Pengujian'!$E$6:$E$505,$B49,'Data Pengujian'!$Q$6:$Q$505,"SUCCESS"),""))</f>
        <v/>
      </c>
      <c r="E49" s="29">
        <f>IF(OR(C49="",D49=""),"",ROUND(D49-C49,2))</f>
        <v/>
      </c>
      <c r="F49" s="29">
        <f>IF(E49="","",IF(E49=0,"",ABS(E49)))</f>
        <v/>
      </c>
      <c r="G49" s="38">
        <f>IF(F49="","",COUNTIF($F$9:$F$58,"&lt;"&amp;F49)+(COUNTIF($F$9:$F$58,F49)+1)/2)</f>
        <v/>
      </c>
      <c r="H49" s="38">
        <f>IF(G49="","",IF(E49&gt;0,G49,-G49))</f>
        <v/>
      </c>
      <c r="M49" s="40" t="n">
        <v>46</v>
      </c>
      <c r="N49" s="40" t="n">
        <v>361</v>
      </c>
    </row>
    <row r="50">
      <c r="B50" s="24" t="n"/>
      <c r="C50" s="29">
        <f>IF($B50="","",IFERROR(AVERAGEIFS('Data Pengujian'!$N$6:$N$505,'Data Pengujian'!$C$6:$C$505,$C$4,'Data Pengujian'!$E$6:$E$505,$B50,'Data Pengujian'!$Q$6:$Q$505,"SUCCESS"),""))</f>
        <v/>
      </c>
      <c r="D50" s="29">
        <f>IF($B50="","",IFERROR(AVERAGEIFS('Data Pengujian'!$N$6:$N$505,'Data Pengujian'!$C$6:$C$505,$C$5,'Data Pengujian'!$E$6:$E$505,$B50,'Data Pengujian'!$Q$6:$Q$505,"SUCCESS"),""))</f>
        <v/>
      </c>
      <c r="E50" s="29">
        <f>IF(OR(C50="",D50=""),"",ROUND(D50-C50,2))</f>
        <v/>
      </c>
      <c r="F50" s="29">
        <f>IF(E50="","",IF(E50=0,"",ABS(E50)))</f>
        <v/>
      </c>
      <c r="G50" s="38">
        <f>IF(F50="","",COUNTIF($F$9:$F$58,"&lt;"&amp;F50)+(COUNTIF($F$9:$F$58,F50)+1)/2)</f>
        <v/>
      </c>
      <c r="H50" s="38">
        <f>IF(G50="","",IF(E50&gt;0,G50,-G50))</f>
        <v/>
      </c>
      <c r="M50" s="40" t="n">
        <v>47</v>
      </c>
      <c r="N50" s="40" t="n">
        <v>378</v>
      </c>
    </row>
    <row r="51">
      <c r="B51" s="24" t="n"/>
      <c r="C51" s="29">
        <f>IF($B51="","",IFERROR(AVERAGEIFS('Data Pengujian'!$N$6:$N$505,'Data Pengujian'!$C$6:$C$505,$C$4,'Data Pengujian'!$E$6:$E$505,$B51,'Data Pengujian'!$Q$6:$Q$505,"SUCCESS"),""))</f>
        <v/>
      </c>
      <c r="D51" s="29">
        <f>IF($B51="","",IFERROR(AVERAGEIFS('Data Pengujian'!$N$6:$N$505,'Data Pengujian'!$C$6:$C$505,$C$5,'Data Pengujian'!$E$6:$E$505,$B51,'Data Pengujian'!$Q$6:$Q$505,"SUCCESS"),""))</f>
        <v/>
      </c>
      <c r="E51" s="29">
        <f>IF(OR(C51="",D51=""),"",ROUND(D51-C51,2))</f>
        <v/>
      </c>
      <c r="F51" s="29">
        <f>IF(E51="","",IF(E51=0,"",ABS(E51)))</f>
        <v/>
      </c>
      <c r="G51" s="38">
        <f>IF(F51="","",COUNTIF($F$9:$F$58,"&lt;"&amp;F51)+(COUNTIF($F$9:$F$58,F51)+1)/2)</f>
        <v/>
      </c>
      <c r="H51" s="38">
        <f>IF(G51="","",IF(E51&gt;0,G51,-G51))</f>
        <v/>
      </c>
      <c r="M51" s="40" t="n">
        <v>48</v>
      </c>
      <c r="N51" s="40" t="n">
        <v>396</v>
      </c>
    </row>
    <row r="52">
      <c r="B52" s="24" t="n"/>
      <c r="C52" s="29">
        <f>IF($B52="","",IFERROR(AVERAGEIFS('Data Pengujian'!$N$6:$N$505,'Data Pengujian'!$C$6:$C$505,$C$4,'Data Pengujian'!$E$6:$E$505,$B52,'Data Pengujian'!$Q$6:$Q$505,"SUCCESS"),""))</f>
        <v/>
      </c>
      <c r="D52" s="29">
        <f>IF($B52="","",IFERROR(AVERAGEIFS('Data Pengujian'!$N$6:$N$505,'Data Pengujian'!$C$6:$C$505,$C$5,'Data Pengujian'!$E$6:$E$505,$B52,'Data Pengujian'!$Q$6:$Q$505,"SUCCESS"),""))</f>
        <v/>
      </c>
      <c r="E52" s="29">
        <f>IF(OR(C52="",D52=""),"",ROUND(D52-C52,2))</f>
        <v/>
      </c>
      <c r="F52" s="29">
        <f>IF(E52="","",IF(E52=0,"",ABS(E52)))</f>
        <v/>
      </c>
      <c r="G52" s="38">
        <f>IF(F52="","",COUNTIF($F$9:$F$58,"&lt;"&amp;F52)+(COUNTIF($F$9:$F$58,F52)+1)/2)</f>
        <v/>
      </c>
      <c r="H52" s="38">
        <f>IF(G52="","",IF(E52&gt;0,G52,-G52))</f>
        <v/>
      </c>
      <c r="M52" s="40" t="n">
        <v>49</v>
      </c>
      <c r="N52" s="40" t="n">
        <v>415</v>
      </c>
    </row>
    <row r="53">
      <c r="B53" s="24" t="n"/>
      <c r="C53" s="29">
        <f>IF($B53="","",IFERROR(AVERAGEIFS('Data Pengujian'!$N$6:$N$505,'Data Pengujian'!$C$6:$C$505,$C$4,'Data Pengujian'!$E$6:$E$505,$B53,'Data Pengujian'!$Q$6:$Q$505,"SUCCESS"),""))</f>
        <v/>
      </c>
      <c r="D53" s="29">
        <f>IF($B53="","",IFERROR(AVERAGEIFS('Data Pengujian'!$N$6:$N$505,'Data Pengujian'!$C$6:$C$505,$C$5,'Data Pengujian'!$E$6:$E$505,$B53,'Data Pengujian'!$Q$6:$Q$505,"SUCCESS"),""))</f>
        <v/>
      </c>
      <c r="E53" s="29">
        <f>IF(OR(C53="",D53=""),"",ROUND(D53-C53,2))</f>
        <v/>
      </c>
      <c r="F53" s="29">
        <f>IF(E53="","",IF(E53=0,"",ABS(E53)))</f>
        <v/>
      </c>
      <c r="G53" s="38">
        <f>IF(F53="","",COUNTIF($F$9:$F$58,"&lt;"&amp;F53)+(COUNTIF($F$9:$F$58,F53)+1)/2)</f>
        <v/>
      </c>
      <c r="H53" s="38">
        <f>IF(G53="","",IF(E53&gt;0,G53,-G53))</f>
        <v/>
      </c>
      <c r="M53" s="40" t="n">
        <v>50</v>
      </c>
      <c r="N53" s="40" t="n">
        <v>434</v>
      </c>
    </row>
    <row r="54">
      <c r="B54" s="24" t="n"/>
      <c r="C54" s="29">
        <f>IF($B54="","",IFERROR(AVERAGEIFS('Data Pengujian'!$N$6:$N$505,'Data Pengujian'!$C$6:$C$505,$C$4,'Data Pengujian'!$E$6:$E$505,$B54,'Data Pengujian'!$Q$6:$Q$505,"SUCCESS"),""))</f>
        <v/>
      </c>
      <c r="D54" s="29">
        <f>IF($B54="","",IFERROR(AVERAGEIFS('Data Pengujian'!$N$6:$N$505,'Data Pengujian'!$C$6:$C$505,$C$5,'Data Pengujian'!$E$6:$E$505,$B54,'Data Pengujian'!$Q$6:$Q$505,"SUCCESS"),""))</f>
        <v/>
      </c>
      <c r="E54" s="29">
        <f>IF(OR(C54="",D54=""),"",ROUND(D54-C54,2))</f>
        <v/>
      </c>
      <c r="F54" s="29">
        <f>IF(E54="","",IF(E54=0,"",ABS(E54)))</f>
        <v/>
      </c>
      <c r="G54" s="38">
        <f>IF(F54="","",COUNTIF($F$9:$F$58,"&lt;"&amp;F54)+(COUNTIF($F$9:$F$58,F54)+1)/2)</f>
        <v/>
      </c>
      <c r="H54" s="38">
        <f>IF(G54="","",IF(E54&gt;0,G54,-G54))</f>
        <v/>
      </c>
    </row>
    <row r="55">
      <c r="B55" s="24" t="n"/>
      <c r="C55" s="29">
        <f>IF($B55="","",IFERROR(AVERAGEIFS('Data Pengujian'!$N$6:$N$505,'Data Pengujian'!$C$6:$C$505,$C$4,'Data Pengujian'!$E$6:$E$505,$B55,'Data Pengujian'!$Q$6:$Q$505,"SUCCESS"),""))</f>
        <v/>
      </c>
      <c r="D55" s="29">
        <f>IF($B55="","",IFERROR(AVERAGEIFS('Data Pengujian'!$N$6:$N$505,'Data Pengujian'!$C$6:$C$505,$C$5,'Data Pengujian'!$E$6:$E$505,$B55,'Data Pengujian'!$Q$6:$Q$505,"SUCCESS"),""))</f>
        <v/>
      </c>
      <c r="E55" s="29">
        <f>IF(OR(C55="",D55=""),"",ROUND(D55-C55,2))</f>
        <v/>
      </c>
      <c r="F55" s="29">
        <f>IF(E55="","",IF(E55=0,"",ABS(E55)))</f>
        <v/>
      </c>
      <c r="G55" s="38">
        <f>IF(F55="","",COUNTIF($F$9:$F$58,"&lt;"&amp;F55)+(COUNTIF($F$9:$F$58,F55)+1)/2)</f>
        <v/>
      </c>
      <c r="H55" s="38">
        <f>IF(G55="","",IF(E55&gt;0,G55,-G55))</f>
        <v/>
      </c>
    </row>
    <row r="56">
      <c r="B56" s="24" t="n"/>
      <c r="C56" s="29">
        <f>IF($B56="","",IFERROR(AVERAGEIFS('Data Pengujian'!$N$6:$N$505,'Data Pengujian'!$C$6:$C$505,$C$4,'Data Pengujian'!$E$6:$E$505,$B56,'Data Pengujian'!$Q$6:$Q$505,"SUCCESS"),""))</f>
        <v/>
      </c>
      <c r="D56" s="29">
        <f>IF($B56="","",IFERROR(AVERAGEIFS('Data Pengujian'!$N$6:$N$505,'Data Pengujian'!$C$6:$C$505,$C$5,'Data Pengujian'!$E$6:$E$505,$B56,'Data Pengujian'!$Q$6:$Q$505,"SUCCESS"),""))</f>
        <v/>
      </c>
      <c r="E56" s="29">
        <f>IF(OR(C56="",D56=""),"",ROUND(D56-C56,2))</f>
        <v/>
      </c>
      <c r="F56" s="29">
        <f>IF(E56="","",IF(E56=0,"",ABS(E56)))</f>
        <v/>
      </c>
      <c r="G56" s="38">
        <f>IF(F56="","",COUNTIF($F$9:$F$58,"&lt;"&amp;F56)+(COUNTIF($F$9:$F$58,F56)+1)/2)</f>
        <v/>
      </c>
      <c r="H56" s="38">
        <f>IF(G56="","",IF(E56&gt;0,G56,-G56))</f>
        <v/>
      </c>
    </row>
    <row r="57">
      <c r="B57" s="24" t="n"/>
      <c r="C57" s="29">
        <f>IF($B57="","",IFERROR(AVERAGEIFS('Data Pengujian'!$N$6:$N$505,'Data Pengujian'!$C$6:$C$505,$C$4,'Data Pengujian'!$E$6:$E$505,$B57,'Data Pengujian'!$Q$6:$Q$505,"SUCCESS"),""))</f>
        <v/>
      </c>
      <c r="D57" s="29">
        <f>IF($B57="","",IFERROR(AVERAGEIFS('Data Pengujian'!$N$6:$N$505,'Data Pengujian'!$C$6:$C$505,$C$5,'Data Pengujian'!$E$6:$E$505,$B57,'Data Pengujian'!$Q$6:$Q$505,"SUCCESS"),""))</f>
        <v/>
      </c>
      <c r="E57" s="29">
        <f>IF(OR(C57="",D57=""),"",ROUND(D57-C57,2))</f>
        <v/>
      </c>
      <c r="F57" s="29">
        <f>IF(E57="","",IF(E57=0,"",ABS(E57)))</f>
        <v/>
      </c>
      <c r="G57" s="38">
        <f>IF(F57="","",COUNTIF($F$9:$F$58,"&lt;"&amp;F57)+(COUNTIF($F$9:$F$58,F57)+1)/2)</f>
        <v/>
      </c>
      <c r="H57" s="38">
        <f>IF(G57="","",IF(E57&gt;0,G57,-G57))</f>
        <v/>
      </c>
    </row>
    <row r="58">
      <c r="B58" s="24" t="n"/>
      <c r="C58" s="29">
        <f>IF($B58="","",IFERROR(AVERAGEIFS('Data Pengujian'!$N$6:$N$505,'Data Pengujian'!$C$6:$C$505,$C$4,'Data Pengujian'!$E$6:$E$505,$B58,'Data Pengujian'!$Q$6:$Q$505,"SUCCESS"),""))</f>
        <v/>
      </c>
      <c r="D58" s="29">
        <f>IF($B58="","",IFERROR(AVERAGEIFS('Data Pengujian'!$N$6:$N$505,'Data Pengujian'!$C$6:$C$505,$C$5,'Data Pengujian'!$E$6:$E$505,$B58,'Data Pengujian'!$Q$6:$Q$505,"SUCCESS"),""))</f>
        <v/>
      </c>
      <c r="E58" s="29">
        <f>IF(OR(C58="",D58=""),"",ROUND(D58-C58,2))</f>
        <v/>
      </c>
      <c r="F58" s="29">
        <f>IF(E58="","",IF(E58=0,"",ABS(E58)))</f>
        <v/>
      </c>
      <c r="G58" s="38">
        <f>IF(F58="","",COUNTIF($F$9:$F$58,"&lt;"&amp;F58)+(COUNTIF($F$9:$F$58,F58)+1)/2)</f>
        <v/>
      </c>
      <c r="H58" s="38">
        <f>IF(G58="","",IF(E58&gt;0,G58,-G58))</f>
        <v/>
      </c>
    </row>
  </sheetData>
  <dataValidations count="1">
    <dataValidation sqref="C4:C5" showDropDown="0" showInputMessage="0" showErrorMessage="0" allowBlank="1" errorTitle="Nilai tidak ada di daftar" error="Nilai di luar daftar. Tambahkan dulu ke sheet 'Daftar Pilihan' bila ini label baru." type="list" errorStyle="warning">
      <formula1>'Daftar Pilihan'!$A$5:$A$24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Grafik</t>
        </is>
      </c>
    </row>
    <row r="2">
      <c r="A2" s="2" t="inlineStr">
        <is>
          <t>Grafik mengikuti sheet Ringkasan Latensi &amp; Ringkasan Ketahanan, dan akan terisi otomatis setelah data diisi.</t>
        </is>
      </c>
    </row>
    <row r="3">
      <c r="A3" s="43">
        <f>"Label A: "&amp;'Ringkasan Latensi'!$C$4&amp;"   |   Label B: "&amp;'Ringkasan Latensi'!$C$5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5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1" customWidth="1" min="4" max="4"/>
    <col width="13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6" customWidth="1" min="13" max="13"/>
    <col width="28" customWidth="1" min="14" max="14"/>
    <col width="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Data Pengujian — Tahap Jawaban QnA (opsional, Fase D)</t>
        </is>
      </c>
    </row>
    <row r="2">
      <c r="A2" s="2" t="inlineStr">
        <is>
          <t>Satu baris = satu jawaban audio yang dianalisis. Isi kolom kuning (atau tempel dari template_answer_*.csv mulai sel A6).</t>
        </is>
      </c>
      <c r="P2" s="31" t="inlineStr">
        <is>
          <t>Label A</t>
        </is>
      </c>
      <c r="Q2" s="4" t="inlineStr">
        <is>
          <t>baseline</t>
        </is>
      </c>
    </row>
    <row r="3">
      <c r="P3" s="31" t="inlineStr">
        <is>
          <t>Label B</t>
        </is>
      </c>
      <c r="Q3" s="4" t="inlineStr">
        <is>
          <t>optimized</t>
        </is>
      </c>
    </row>
    <row r="4">
      <c r="P4" s="3" t="inlineStr">
        <is>
          <t>Ringkasan (hanya SUCCESS)</t>
        </is>
      </c>
    </row>
    <row r="5" ht="58" customHeight="1">
      <c r="A5" s="10" t="inlineStr">
        <is>
          <t>No</t>
        </is>
      </c>
      <c r="B5" s="10" t="inlineStr">
        <is>
          <t>Tanggal</t>
        </is>
      </c>
      <c r="C5" s="10" t="inlineStr">
        <is>
          <t>Label Fase</t>
        </is>
      </c>
      <c r="D5" s="10" t="inlineStr">
        <is>
          <t>Mode</t>
        </is>
      </c>
      <c r="E5" s="10" t="inlineStr">
        <is>
          <t>Kode Sampel</t>
        </is>
      </c>
      <c r="F5" s="10" t="inlineStr">
        <is>
          <t>Durasi Video Target (mnt)</t>
        </is>
      </c>
      <c r="G5" s="10" t="inlineStr">
        <is>
          <t>Pakai Ulang File Video?</t>
        </is>
      </c>
      <c r="H5" s="10" t="inlineStr">
        <is>
          <t>Upload ke Gemini (dtk)</t>
        </is>
      </c>
      <c r="I5" s="10" t="inlineStr">
        <is>
          <t>Tunggu File ACTIVE (dtk)</t>
        </is>
      </c>
      <c r="J5" s="10" t="inlineStr">
        <is>
          <t>generateContent (dtk)</t>
        </is>
      </c>
      <c r="K5" s="10" t="inlineStr">
        <is>
          <t>Total Server (dtk)</t>
        </is>
      </c>
      <c r="L5" s="10" t="inlineStr">
        <is>
          <t>Waktu Respon di App (dtk)</t>
        </is>
      </c>
      <c r="M5" s="10" t="inlineStr">
        <is>
          <t>Status Akhir</t>
        </is>
      </c>
      <c r="N5" s="10" t="inlineStr">
        <is>
          <t>Catatan</t>
        </is>
      </c>
      <c r="P5" s="10" t="inlineStr">
        <is>
          <t>Durasi Video (mnt)</t>
        </is>
      </c>
      <c r="Q5" s="10" t="inlineStr">
        <is>
          <t>n Sukses A</t>
        </is>
      </c>
      <c r="R5" s="10" t="inlineStr">
        <is>
          <t>Rata-rata Total A (dtk)</t>
        </is>
      </c>
      <c r="S5" s="10" t="inlineStr">
        <is>
          <t>Rata-rata Upload A (dtk)</t>
        </is>
      </c>
      <c r="T5" s="10" t="inlineStr">
        <is>
          <t>Respon App A (dtk)</t>
        </is>
      </c>
      <c r="U5" s="10" t="inlineStr">
        <is>
          <t>n Sukses B</t>
        </is>
      </c>
      <c r="V5" s="10" t="inlineStr">
        <is>
          <t>Rata-rata Total B (dtk)</t>
        </is>
      </c>
      <c r="W5" s="10" t="inlineStr">
        <is>
          <t>Rata-rata Upload B (dtk)</t>
        </is>
      </c>
      <c r="X5" s="10" t="inlineStr">
        <is>
          <t>Respon App B (dtk)</t>
        </is>
      </c>
      <c r="Y5" s="10" t="inlineStr">
        <is>
          <t>Perubahan Total (%)</t>
        </is>
      </c>
    </row>
    <row r="6">
      <c r="A6" s="22" t="n"/>
      <c r="B6" s="23" t="n"/>
      <c r="C6" s="24" t="n"/>
      <c r="D6" s="24" t="n"/>
      <c r="E6" s="24" t="n"/>
      <c r="F6" s="22" t="n"/>
      <c r="G6" s="24" t="n"/>
      <c r="H6" s="26" t="n"/>
      <c r="I6" s="26" t="n"/>
      <c r="J6" s="26" t="n"/>
      <c r="K6" s="26" t="n"/>
      <c r="L6" s="26" t="n"/>
      <c r="M6" s="24" t="n"/>
      <c r="N6" s="24" t="n"/>
      <c r="P6" s="32" t="n">
        <v>1</v>
      </c>
      <c r="Q6" s="28">
        <f>COUNTIFS('Data QnA'!$C$6:$C$205,$Q$2,'Data QnA'!$F$6:$F$205,$P6,'Data QnA'!$M$6:$M$205,"SUCCESS")</f>
        <v/>
      </c>
      <c r="R6" s="29">
        <f>IFERROR(AVERAGEIFS('Data QnA'!$K$6:$K$205,'Data QnA'!$C$6:$C$205,$Q$2,'Data QnA'!$F$6:$F$205,$P6,'Data QnA'!$M$6:$M$205,"SUCCESS"),"")</f>
        <v/>
      </c>
      <c r="S6" s="29">
        <f>IFERROR(AVERAGEIFS('Data QnA'!$H$6:$H$205,'Data QnA'!$C$6:$C$205,$Q$2,'Data QnA'!$F$6:$F$205,$P6,'Data QnA'!$M$6:$M$205,"SUCCESS"),"")</f>
        <v/>
      </c>
      <c r="T6" s="29">
        <f>IFERROR(AVERAGEIFS('Data QnA'!$L$6:$L$205,'Data QnA'!$C$6:$C$205,$Q$2,'Data QnA'!$F$6:$F$205,$P6,'Data QnA'!$M$6:$M$205,"SUCCESS"),"")</f>
        <v/>
      </c>
      <c r="U6" s="28">
        <f>COUNTIFS('Data QnA'!$C$6:$C$205,$Q$3,'Data QnA'!$F$6:$F$205,$P6,'Data QnA'!$M$6:$M$205,"SUCCESS")</f>
        <v/>
      </c>
      <c r="V6" s="29">
        <f>IFERROR(AVERAGEIFS('Data QnA'!$K$6:$K$205,'Data QnA'!$C$6:$C$205,$Q$3,'Data QnA'!$F$6:$F$205,$P6,'Data QnA'!$M$6:$M$205,"SUCCESS"),"")</f>
        <v/>
      </c>
      <c r="W6" s="29">
        <f>IFERROR(AVERAGEIFS('Data QnA'!$H$6:$H$205,'Data QnA'!$C$6:$C$205,$Q$3,'Data QnA'!$F$6:$F$205,$P6,'Data QnA'!$M$6:$M$205,"SUCCESS"),"")</f>
        <v/>
      </c>
      <c r="X6" s="29">
        <f>IFERROR(AVERAGEIFS('Data QnA'!$L$6:$L$205,'Data QnA'!$C$6:$C$205,$Q$3,'Data QnA'!$F$6:$F$205,$P6,'Data QnA'!$M$6:$M$205,"SUCCESS"),"")</f>
        <v/>
      </c>
      <c r="Y6" s="30">
        <f>IF(OR(R6="",V6="",R6=0),"",(V6-R6)/R6)</f>
        <v/>
      </c>
    </row>
    <row r="7">
      <c r="A7" s="22" t="n"/>
      <c r="B7" s="23" t="n"/>
      <c r="C7" s="24" t="n"/>
      <c r="D7" s="24" t="n"/>
      <c r="E7" s="24" t="n"/>
      <c r="F7" s="22" t="n"/>
      <c r="G7" s="24" t="n"/>
      <c r="H7" s="26" t="n"/>
      <c r="I7" s="26" t="n"/>
      <c r="J7" s="26" t="n"/>
      <c r="K7" s="26" t="n"/>
      <c r="L7" s="26" t="n"/>
      <c r="M7" s="24" t="n"/>
      <c r="N7" s="24" t="n"/>
      <c r="P7" s="32" t="n">
        <v>3</v>
      </c>
      <c r="Q7" s="28">
        <f>COUNTIFS('Data QnA'!$C$6:$C$205,$Q$2,'Data QnA'!$F$6:$F$205,$P7,'Data QnA'!$M$6:$M$205,"SUCCESS")</f>
        <v/>
      </c>
      <c r="R7" s="29">
        <f>IFERROR(AVERAGEIFS('Data QnA'!$K$6:$K$205,'Data QnA'!$C$6:$C$205,$Q$2,'Data QnA'!$F$6:$F$205,$P7,'Data QnA'!$M$6:$M$205,"SUCCESS"),"")</f>
        <v/>
      </c>
      <c r="S7" s="29">
        <f>IFERROR(AVERAGEIFS('Data QnA'!$H$6:$H$205,'Data QnA'!$C$6:$C$205,$Q$2,'Data QnA'!$F$6:$F$205,$P7,'Data QnA'!$M$6:$M$205,"SUCCESS"),"")</f>
        <v/>
      </c>
      <c r="T7" s="29">
        <f>IFERROR(AVERAGEIFS('Data QnA'!$L$6:$L$205,'Data QnA'!$C$6:$C$205,$Q$2,'Data QnA'!$F$6:$F$205,$P7,'Data QnA'!$M$6:$M$205,"SUCCESS"),"")</f>
        <v/>
      </c>
      <c r="U7" s="28">
        <f>COUNTIFS('Data QnA'!$C$6:$C$205,$Q$3,'Data QnA'!$F$6:$F$205,$P7,'Data QnA'!$M$6:$M$205,"SUCCESS")</f>
        <v/>
      </c>
      <c r="V7" s="29">
        <f>IFERROR(AVERAGEIFS('Data QnA'!$K$6:$K$205,'Data QnA'!$C$6:$C$205,$Q$3,'Data QnA'!$F$6:$F$205,$P7,'Data QnA'!$M$6:$M$205,"SUCCESS"),"")</f>
        <v/>
      </c>
      <c r="W7" s="29">
        <f>IFERROR(AVERAGEIFS('Data QnA'!$H$6:$H$205,'Data QnA'!$C$6:$C$205,$Q$3,'Data QnA'!$F$6:$F$205,$P7,'Data QnA'!$M$6:$M$205,"SUCCESS"),"")</f>
        <v/>
      </c>
      <c r="X7" s="29">
        <f>IFERROR(AVERAGEIFS('Data QnA'!$L$6:$L$205,'Data QnA'!$C$6:$C$205,$Q$3,'Data QnA'!$F$6:$F$205,$P7,'Data QnA'!$M$6:$M$205,"SUCCESS"),"")</f>
        <v/>
      </c>
      <c r="Y7" s="30">
        <f>IF(OR(R7="",V7="",R7=0),"",(V7-R7)/R7)</f>
        <v/>
      </c>
    </row>
    <row r="8">
      <c r="A8" s="22" t="n"/>
      <c r="B8" s="23" t="n"/>
      <c r="C8" s="24" t="n"/>
      <c r="D8" s="24" t="n"/>
      <c r="E8" s="24" t="n"/>
      <c r="F8" s="22" t="n"/>
      <c r="G8" s="24" t="n"/>
      <c r="H8" s="26" t="n"/>
      <c r="I8" s="26" t="n"/>
      <c r="J8" s="26" t="n"/>
      <c r="K8" s="26" t="n"/>
      <c r="L8" s="26" t="n"/>
      <c r="M8" s="24" t="n"/>
      <c r="N8" s="24" t="n"/>
      <c r="P8" s="32" t="n">
        <v>5</v>
      </c>
      <c r="Q8" s="28">
        <f>COUNTIFS('Data QnA'!$C$6:$C$205,$Q$2,'Data QnA'!$F$6:$F$205,$P8,'Data QnA'!$M$6:$M$205,"SUCCESS")</f>
        <v/>
      </c>
      <c r="R8" s="29">
        <f>IFERROR(AVERAGEIFS('Data QnA'!$K$6:$K$205,'Data QnA'!$C$6:$C$205,$Q$2,'Data QnA'!$F$6:$F$205,$P8,'Data QnA'!$M$6:$M$205,"SUCCESS"),"")</f>
        <v/>
      </c>
      <c r="S8" s="29">
        <f>IFERROR(AVERAGEIFS('Data QnA'!$H$6:$H$205,'Data QnA'!$C$6:$C$205,$Q$2,'Data QnA'!$F$6:$F$205,$P8,'Data QnA'!$M$6:$M$205,"SUCCESS"),"")</f>
        <v/>
      </c>
      <c r="T8" s="29">
        <f>IFERROR(AVERAGEIFS('Data QnA'!$L$6:$L$205,'Data QnA'!$C$6:$C$205,$Q$2,'Data QnA'!$F$6:$F$205,$P8,'Data QnA'!$M$6:$M$205,"SUCCESS"),"")</f>
        <v/>
      </c>
      <c r="U8" s="28">
        <f>COUNTIFS('Data QnA'!$C$6:$C$205,$Q$3,'Data QnA'!$F$6:$F$205,$P8,'Data QnA'!$M$6:$M$205,"SUCCESS")</f>
        <v/>
      </c>
      <c r="V8" s="29">
        <f>IFERROR(AVERAGEIFS('Data QnA'!$K$6:$K$205,'Data QnA'!$C$6:$C$205,$Q$3,'Data QnA'!$F$6:$F$205,$P8,'Data QnA'!$M$6:$M$205,"SUCCESS"),"")</f>
        <v/>
      </c>
      <c r="W8" s="29">
        <f>IFERROR(AVERAGEIFS('Data QnA'!$H$6:$H$205,'Data QnA'!$C$6:$C$205,$Q$3,'Data QnA'!$F$6:$F$205,$P8,'Data QnA'!$M$6:$M$205,"SUCCESS"),"")</f>
        <v/>
      </c>
      <c r="X8" s="29">
        <f>IFERROR(AVERAGEIFS('Data QnA'!$L$6:$L$205,'Data QnA'!$C$6:$C$205,$Q$3,'Data QnA'!$F$6:$F$205,$P8,'Data QnA'!$M$6:$M$205,"SUCCESS"),"")</f>
        <v/>
      </c>
      <c r="Y8" s="30">
        <f>IF(OR(R8="",V8="",R8=0),"",(V8-R8)/R8)</f>
        <v/>
      </c>
    </row>
    <row r="9">
      <c r="A9" s="22" t="n"/>
      <c r="B9" s="23" t="n"/>
      <c r="C9" s="24" t="n"/>
      <c r="D9" s="24" t="n"/>
      <c r="E9" s="24" t="n"/>
      <c r="F9" s="22" t="n"/>
      <c r="G9" s="24" t="n"/>
      <c r="H9" s="26" t="n"/>
      <c r="I9" s="26" t="n"/>
      <c r="J9" s="26" t="n"/>
      <c r="K9" s="26" t="n"/>
      <c r="L9" s="26" t="n"/>
      <c r="M9" s="24" t="n"/>
      <c r="N9" s="24" t="n"/>
      <c r="P9" s="32" t="n">
        <v>8</v>
      </c>
      <c r="Q9" s="28">
        <f>COUNTIFS('Data QnA'!$C$6:$C$205,$Q$2,'Data QnA'!$F$6:$F$205,$P9,'Data QnA'!$M$6:$M$205,"SUCCESS")</f>
        <v/>
      </c>
      <c r="R9" s="29">
        <f>IFERROR(AVERAGEIFS('Data QnA'!$K$6:$K$205,'Data QnA'!$C$6:$C$205,$Q$2,'Data QnA'!$F$6:$F$205,$P9,'Data QnA'!$M$6:$M$205,"SUCCESS"),"")</f>
        <v/>
      </c>
      <c r="S9" s="29">
        <f>IFERROR(AVERAGEIFS('Data QnA'!$H$6:$H$205,'Data QnA'!$C$6:$C$205,$Q$2,'Data QnA'!$F$6:$F$205,$P9,'Data QnA'!$M$6:$M$205,"SUCCESS"),"")</f>
        <v/>
      </c>
      <c r="T9" s="29">
        <f>IFERROR(AVERAGEIFS('Data QnA'!$L$6:$L$205,'Data QnA'!$C$6:$C$205,$Q$2,'Data QnA'!$F$6:$F$205,$P9,'Data QnA'!$M$6:$M$205,"SUCCESS"),"")</f>
        <v/>
      </c>
      <c r="U9" s="28">
        <f>COUNTIFS('Data QnA'!$C$6:$C$205,$Q$3,'Data QnA'!$F$6:$F$205,$P9,'Data QnA'!$M$6:$M$205,"SUCCESS")</f>
        <v/>
      </c>
      <c r="V9" s="29">
        <f>IFERROR(AVERAGEIFS('Data QnA'!$K$6:$K$205,'Data QnA'!$C$6:$C$205,$Q$3,'Data QnA'!$F$6:$F$205,$P9,'Data QnA'!$M$6:$M$205,"SUCCESS"),"")</f>
        <v/>
      </c>
      <c r="W9" s="29">
        <f>IFERROR(AVERAGEIFS('Data QnA'!$H$6:$H$205,'Data QnA'!$C$6:$C$205,$Q$3,'Data QnA'!$F$6:$F$205,$P9,'Data QnA'!$M$6:$M$205,"SUCCESS"),"")</f>
        <v/>
      </c>
      <c r="X9" s="29">
        <f>IFERROR(AVERAGEIFS('Data QnA'!$L$6:$L$205,'Data QnA'!$C$6:$C$205,$Q$3,'Data QnA'!$F$6:$F$205,$P9,'Data QnA'!$M$6:$M$205,"SUCCESS"),"")</f>
        <v/>
      </c>
      <c r="Y9" s="30">
        <f>IF(OR(R9="",V9="",R9=0),"",(V9-R9)/R9)</f>
        <v/>
      </c>
    </row>
    <row r="10">
      <c r="A10" s="22" t="n"/>
      <c r="B10" s="23" t="n"/>
      <c r="C10" s="24" t="n"/>
      <c r="D10" s="24" t="n"/>
      <c r="E10" s="24" t="n"/>
      <c r="F10" s="22" t="n"/>
      <c r="G10" s="24" t="n"/>
      <c r="H10" s="26" t="n"/>
      <c r="I10" s="26" t="n"/>
      <c r="J10" s="26" t="n"/>
      <c r="K10" s="26" t="n"/>
      <c r="L10" s="26" t="n"/>
      <c r="M10" s="24" t="n"/>
      <c r="N10" s="24" t="n"/>
      <c r="P10" s="20" t="inlineStr">
        <is>
          <t>Semua</t>
        </is>
      </c>
      <c r="Q10" s="33">
        <f>COUNTIFS('Data QnA'!$C$6:$C$205,$Q$2,'Data QnA'!$M$6:$M$205,"SUCCESS")</f>
        <v/>
      </c>
      <c r="R10" s="35">
        <f>IFERROR(AVERAGEIFS('Data QnA'!$K$6:$K$205,'Data QnA'!$C$6:$C$205,$Q$2,'Data QnA'!$M$6:$M$205,"SUCCESS"),"")</f>
        <v/>
      </c>
      <c r="S10" s="35">
        <f>IFERROR(AVERAGEIFS('Data QnA'!$H$6:$H$205,'Data QnA'!$C$6:$C$205,$Q$2,'Data QnA'!$M$6:$M$205,"SUCCESS"),"")</f>
        <v/>
      </c>
      <c r="T10" s="35">
        <f>IFERROR(AVERAGEIFS('Data QnA'!$L$6:$L$205,'Data QnA'!$C$6:$C$205,$Q$2,'Data QnA'!$M$6:$M$205,"SUCCESS"),"")</f>
        <v/>
      </c>
      <c r="U10" s="33">
        <f>COUNTIFS('Data QnA'!$C$6:$C$205,$Q$3,'Data QnA'!$M$6:$M$205,"SUCCESS")</f>
        <v/>
      </c>
      <c r="V10" s="35">
        <f>IFERROR(AVERAGEIFS('Data QnA'!$K$6:$K$205,'Data QnA'!$C$6:$C$205,$Q$3,'Data QnA'!$M$6:$M$205,"SUCCESS"),"")</f>
        <v/>
      </c>
      <c r="W10" s="35">
        <f>IFERROR(AVERAGEIFS('Data QnA'!$H$6:$H$205,'Data QnA'!$C$6:$C$205,$Q$3,'Data QnA'!$M$6:$M$205,"SUCCESS"),"")</f>
        <v/>
      </c>
      <c r="X10" s="35">
        <f>IFERROR(AVERAGEIFS('Data QnA'!$L$6:$L$205,'Data QnA'!$C$6:$C$205,$Q$3,'Data QnA'!$M$6:$M$205,"SUCCESS"),"")</f>
        <v/>
      </c>
      <c r="Y10" s="34">
        <f>IF(OR(R10="",V10="",R10=0),"",(V10-R10)/R10)</f>
        <v/>
      </c>
    </row>
    <row r="11">
      <c r="A11" s="22" t="n"/>
      <c r="B11" s="23" t="n"/>
      <c r="C11" s="24" t="n"/>
      <c r="D11" s="24" t="n"/>
      <c r="E11" s="24" t="n"/>
      <c r="F11" s="22" t="n"/>
      <c r="G11" s="24" t="n"/>
      <c r="H11" s="26" t="n"/>
      <c r="I11" s="26" t="n"/>
      <c r="J11" s="26" t="n"/>
      <c r="K11" s="26" t="n"/>
      <c r="L11" s="26" t="n"/>
      <c r="M11" s="24" t="n"/>
      <c r="N11" s="24" t="n"/>
    </row>
    <row r="12">
      <c r="A12" s="22" t="n"/>
      <c r="B12" s="23" t="n"/>
      <c r="C12" s="24" t="n"/>
      <c r="D12" s="24" t="n"/>
      <c r="E12" s="24" t="n"/>
      <c r="F12" s="22" t="n"/>
      <c r="G12" s="24" t="n"/>
      <c r="H12" s="26" t="n"/>
      <c r="I12" s="26" t="n"/>
      <c r="J12" s="26" t="n"/>
      <c r="K12" s="26" t="n"/>
      <c r="L12" s="26" t="n"/>
      <c r="M12" s="24" t="n"/>
      <c r="N12" s="24" t="n"/>
    </row>
    <row r="13">
      <c r="A13" s="22" t="n"/>
      <c r="B13" s="23" t="n"/>
      <c r="C13" s="24" t="n"/>
      <c r="D13" s="24" t="n"/>
      <c r="E13" s="24" t="n"/>
      <c r="F13" s="22" t="n"/>
      <c r="G13" s="24" t="n"/>
      <c r="H13" s="26" t="n"/>
      <c r="I13" s="26" t="n"/>
      <c r="J13" s="26" t="n"/>
      <c r="K13" s="26" t="n"/>
      <c r="L13" s="26" t="n"/>
      <c r="M13" s="24" t="n"/>
      <c r="N13" s="24" t="n"/>
    </row>
    <row r="14">
      <c r="A14" s="22" t="n"/>
      <c r="B14" s="23" t="n"/>
      <c r="C14" s="24" t="n"/>
      <c r="D14" s="24" t="n"/>
      <c r="E14" s="24" t="n"/>
      <c r="F14" s="22" t="n"/>
      <c r="G14" s="24" t="n"/>
      <c r="H14" s="26" t="n"/>
      <c r="I14" s="26" t="n"/>
      <c r="J14" s="26" t="n"/>
      <c r="K14" s="26" t="n"/>
      <c r="L14" s="26" t="n"/>
      <c r="M14" s="24" t="n"/>
      <c r="N14" s="24" t="n"/>
    </row>
    <row r="15">
      <c r="A15" s="22" t="n"/>
      <c r="B15" s="23" t="n"/>
      <c r="C15" s="24" t="n"/>
      <c r="D15" s="24" t="n"/>
      <c r="E15" s="24" t="n"/>
      <c r="F15" s="22" t="n"/>
      <c r="G15" s="24" t="n"/>
      <c r="H15" s="26" t="n"/>
      <c r="I15" s="26" t="n"/>
      <c r="J15" s="26" t="n"/>
      <c r="K15" s="26" t="n"/>
      <c r="L15" s="26" t="n"/>
      <c r="M15" s="24" t="n"/>
      <c r="N15" s="24" t="n"/>
    </row>
    <row r="16">
      <c r="A16" s="22" t="n"/>
      <c r="B16" s="23" t="n"/>
      <c r="C16" s="24" t="n"/>
      <c r="D16" s="24" t="n"/>
      <c r="E16" s="24" t="n"/>
      <c r="F16" s="22" t="n"/>
      <c r="G16" s="24" t="n"/>
      <c r="H16" s="26" t="n"/>
      <c r="I16" s="26" t="n"/>
      <c r="J16" s="26" t="n"/>
      <c r="K16" s="26" t="n"/>
      <c r="L16" s="26" t="n"/>
      <c r="M16" s="24" t="n"/>
      <c r="N16" s="24" t="n"/>
    </row>
    <row r="17">
      <c r="A17" s="22" t="n"/>
      <c r="B17" s="23" t="n"/>
      <c r="C17" s="24" t="n"/>
      <c r="D17" s="24" t="n"/>
      <c r="E17" s="24" t="n"/>
      <c r="F17" s="22" t="n"/>
      <c r="G17" s="24" t="n"/>
      <c r="H17" s="26" t="n"/>
      <c r="I17" s="26" t="n"/>
      <c r="J17" s="26" t="n"/>
      <c r="K17" s="26" t="n"/>
      <c r="L17" s="26" t="n"/>
      <c r="M17" s="24" t="n"/>
      <c r="N17" s="24" t="n"/>
    </row>
    <row r="18">
      <c r="A18" s="22" t="n"/>
      <c r="B18" s="23" t="n"/>
      <c r="C18" s="24" t="n"/>
      <c r="D18" s="24" t="n"/>
      <c r="E18" s="24" t="n"/>
      <c r="F18" s="22" t="n"/>
      <c r="G18" s="24" t="n"/>
      <c r="H18" s="26" t="n"/>
      <c r="I18" s="26" t="n"/>
      <c r="J18" s="26" t="n"/>
      <c r="K18" s="26" t="n"/>
      <c r="L18" s="26" t="n"/>
      <c r="M18" s="24" t="n"/>
      <c r="N18" s="24" t="n"/>
    </row>
    <row r="19">
      <c r="A19" s="22" t="n"/>
      <c r="B19" s="23" t="n"/>
      <c r="C19" s="24" t="n"/>
      <c r="D19" s="24" t="n"/>
      <c r="E19" s="24" t="n"/>
      <c r="F19" s="22" t="n"/>
      <c r="G19" s="24" t="n"/>
      <c r="H19" s="26" t="n"/>
      <c r="I19" s="26" t="n"/>
      <c r="J19" s="26" t="n"/>
      <c r="K19" s="26" t="n"/>
      <c r="L19" s="26" t="n"/>
      <c r="M19" s="24" t="n"/>
      <c r="N19" s="24" t="n"/>
    </row>
    <row r="20">
      <c r="A20" s="22" t="n"/>
      <c r="B20" s="23" t="n"/>
      <c r="C20" s="24" t="n"/>
      <c r="D20" s="24" t="n"/>
      <c r="E20" s="24" t="n"/>
      <c r="F20" s="22" t="n"/>
      <c r="G20" s="24" t="n"/>
      <c r="H20" s="26" t="n"/>
      <c r="I20" s="26" t="n"/>
      <c r="J20" s="26" t="n"/>
      <c r="K20" s="26" t="n"/>
      <c r="L20" s="26" t="n"/>
      <c r="M20" s="24" t="n"/>
      <c r="N20" s="24" t="n"/>
    </row>
    <row r="21">
      <c r="A21" s="22" t="n"/>
      <c r="B21" s="23" t="n"/>
      <c r="C21" s="24" t="n"/>
      <c r="D21" s="24" t="n"/>
      <c r="E21" s="24" t="n"/>
      <c r="F21" s="22" t="n"/>
      <c r="G21" s="24" t="n"/>
      <c r="H21" s="26" t="n"/>
      <c r="I21" s="26" t="n"/>
      <c r="J21" s="26" t="n"/>
      <c r="K21" s="26" t="n"/>
      <c r="L21" s="26" t="n"/>
      <c r="M21" s="24" t="n"/>
      <c r="N21" s="24" t="n"/>
    </row>
    <row r="22">
      <c r="A22" s="22" t="n"/>
      <c r="B22" s="23" t="n"/>
      <c r="C22" s="24" t="n"/>
      <c r="D22" s="24" t="n"/>
      <c r="E22" s="24" t="n"/>
      <c r="F22" s="22" t="n"/>
      <c r="G22" s="24" t="n"/>
      <c r="H22" s="26" t="n"/>
      <c r="I22" s="26" t="n"/>
      <c r="J22" s="26" t="n"/>
      <c r="K22" s="26" t="n"/>
      <c r="L22" s="26" t="n"/>
      <c r="M22" s="24" t="n"/>
      <c r="N22" s="24" t="n"/>
    </row>
    <row r="23">
      <c r="A23" s="22" t="n"/>
      <c r="B23" s="23" t="n"/>
      <c r="C23" s="24" t="n"/>
      <c r="D23" s="24" t="n"/>
      <c r="E23" s="24" t="n"/>
      <c r="F23" s="22" t="n"/>
      <c r="G23" s="24" t="n"/>
      <c r="H23" s="26" t="n"/>
      <c r="I23" s="26" t="n"/>
      <c r="J23" s="26" t="n"/>
      <c r="K23" s="26" t="n"/>
      <c r="L23" s="26" t="n"/>
      <c r="M23" s="24" t="n"/>
      <c r="N23" s="24" t="n"/>
    </row>
    <row r="24">
      <c r="A24" s="22" t="n"/>
      <c r="B24" s="23" t="n"/>
      <c r="C24" s="24" t="n"/>
      <c r="D24" s="24" t="n"/>
      <c r="E24" s="24" t="n"/>
      <c r="F24" s="22" t="n"/>
      <c r="G24" s="24" t="n"/>
      <c r="H24" s="26" t="n"/>
      <c r="I24" s="26" t="n"/>
      <c r="J24" s="26" t="n"/>
      <c r="K24" s="26" t="n"/>
      <c r="L24" s="26" t="n"/>
      <c r="M24" s="24" t="n"/>
      <c r="N24" s="24" t="n"/>
    </row>
    <row r="25">
      <c r="A25" s="22" t="n"/>
      <c r="B25" s="23" t="n"/>
      <c r="C25" s="24" t="n"/>
      <c r="D25" s="24" t="n"/>
      <c r="E25" s="24" t="n"/>
      <c r="F25" s="22" t="n"/>
      <c r="G25" s="24" t="n"/>
      <c r="H25" s="26" t="n"/>
      <c r="I25" s="26" t="n"/>
      <c r="J25" s="26" t="n"/>
      <c r="K25" s="26" t="n"/>
      <c r="L25" s="26" t="n"/>
      <c r="M25" s="24" t="n"/>
      <c r="N25" s="24" t="n"/>
    </row>
    <row r="26">
      <c r="A26" s="22" t="n"/>
      <c r="B26" s="23" t="n"/>
      <c r="C26" s="24" t="n"/>
      <c r="D26" s="24" t="n"/>
      <c r="E26" s="24" t="n"/>
      <c r="F26" s="22" t="n"/>
      <c r="G26" s="24" t="n"/>
      <c r="H26" s="26" t="n"/>
      <c r="I26" s="26" t="n"/>
      <c r="J26" s="26" t="n"/>
      <c r="K26" s="26" t="n"/>
      <c r="L26" s="26" t="n"/>
      <c r="M26" s="24" t="n"/>
      <c r="N26" s="24" t="n"/>
    </row>
    <row r="27">
      <c r="A27" s="22" t="n"/>
      <c r="B27" s="23" t="n"/>
      <c r="C27" s="24" t="n"/>
      <c r="D27" s="24" t="n"/>
      <c r="E27" s="24" t="n"/>
      <c r="F27" s="22" t="n"/>
      <c r="G27" s="24" t="n"/>
      <c r="H27" s="26" t="n"/>
      <c r="I27" s="26" t="n"/>
      <c r="J27" s="26" t="n"/>
      <c r="K27" s="26" t="n"/>
      <c r="L27" s="26" t="n"/>
      <c r="M27" s="24" t="n"/>
      <c r="N27" s="24" t="n"/>
    </row>
    <row r="28">
      <c r="A28" s="22" t="n"/>
      <c r="B28" s="23" t="n"/>
      <c r="C28" s="24" t="n"/>
      <c r="D28" s="24" t="n"/>
      <c r="E28" s="24" t="n"/>
      <c r="F28" s="22" t="n"/>
      <c r="G28" s="24" t="n"/>
      <c r="H28" s="26" t="n"/>
      <c r="I28" s="26" t="n"/>
      <c r="J28" s="26" t="n"/>
      <c r="K28" s="26" t="n"/>
      <c r="L28" s="26" t="n"/>
      <c r="M28" s="24" t="n"/>
      <c r="N28" s="24" t="n"/>
    </row>
    <row r="29">
      <c r="A29" s="22" t="n"/>
      <c r="B29" s="23" t="n"/>
      <c r="C29" s="24" t="n"/>
      <c r="D29" s="24" t="n"/>
      <c r="E29" s="24" t="n"/>
      <c r="F29" s="22" t="n"/>
      <c r="G29" s="24" t="n"/>
      <c r="H29" s="26" t="n"/>
      <c r="I29" s="26" t="n"/>
      <c r="J29" s="26" t="n"/>
      <c r="K29" s="26" t="n"/>
      <c r="L29" s="26" t="n"/>
      <c r="M29" s="24" t="n"/>
      <c r="N29" s="24" t="n"/>
    </row>
    <row r="30">
      <c r="A30" s="22" t="n"/>
      <c r="B30" s="23" t="n"/>
      <c r="C30" s="24" t="n"/>
      <c r="D30" s="24" t="n"/>
      <c r="E30" s="24" t="n"/>
      <c r="F30" s="22" t="n"/>
      <c r="G30" s="24" t="n"/>
      <c r="H30" s="26" t="n"/>
      <c r="I30" s="26" t="n"/>
      <c r="J30" s="26" t="n"/>
      <c r="K30" s="26" t="n"/>
      <c r="L30" s="26" t="n"/>
      <c r="M30" s="24" t="n"/>
      <c r="N30" s="24" t="n"/>
    </row>
    <row r="31">
      <c r="A31" s="22" t="n"/>
      <c r="B31" s="23" t="n"/>
      <c r="C31" s="24" t="n"/>
      <c r="D31" s="24" t="n"/>
      <c r="E31" s="24" t="n"/>
      <c r="F31" s="22" t="n"/>
      <c r="G31" s="24" t="n"/>
      <c r="H31" s="26" t="n"/>
      <c r="I31" s="26" t="n"/>
      <c r="J31" s="26" t="n"/>
      <c r="K31" s="26" t="n"/>
      <c r="L31" s="26" t="n"/>
      <c r="M31" s="24" t="n"/>
      <c r="N31" s="24" t="n"/>
    </row>
    <row r="32">
      <c r="A32" s="22" t="n"/>
      <c r="B32" s="23" t="n"/>
      <c r="C32" s="24" t="n"/>
      <c r="D32" s="24" t="n"/>
      <c r="E32" s="24" t="n"/>
      <c r="F32" s="22" t="n"/>
      <c r="G32" s="24" t="n"/>
      <c r="H32" s="26" t="n"/>
      <c r="I32" s="26" t="n"/>
      <c r="J32" s="26" t="n"/>
      <c r="K32" s="26" t="n"/>
      <c r="L32" s="26" t="n"/>
      <c r="M32" s="24" t="n"/>
      <c r="N32" s="24" t="n"/>
    </row>
    <row r="33">
      <c r="A33" s="22" t="n"/>
      <c r="B33" s="23" t="n"/>
      <c r="C33" s="24" t="n"/>
      <c r="D33" s="24" t="n"/>
      <c r="E33" s="24" t="n"/>
      <c r="F33" s="22" t="n"/>
      <c r="G33" s="24" t="n"/>
      <c r="H33" s="26" t="n"/>
      <c r="I33" s="26" t="n"/>
      <c r="J33" s="26" t="n"/>
      <c r="K33" s="26" t="n"/>
      <c r="L33" s="26" t="n"/>
      <c r="M33" s="24" t="n"/>
      <c r="N33" s="24" t="n"/>
    </row>
    <row r="34">
      <c r="A34" s="22" t="n"/>
      <c r="B34" s="23" t="n"/>
      <c r="C34" s="24" t="n"/>
      <c r="D34" s="24" t="n"/>
      <c r="E34" s="24" t="n"/>
      <c r="F34" s="22" t="n"/>
      <c r="G34" s="24" t="n"/>
      <c r="H34" s="26" t="n"/>
      <c r="I34" s="26" t="n"/>
      <c r="J34" s="26" t="n"/>
      <c r="K34" s="26" t="n"/>
      <c r="L34" s="26" t="n"/>
      <c r="M34" s="24" t="n"/>
      <c r="N34" s="24" t="n"/>
    </row>
    <row r="35">
      <c r="A35" s="22" t="n"/>
      <c r="B35" s="23" t="n"/>
      <c r="C35" s="24" t="n"/>
      <c r="D35" s="24" t="n"/>
      <c r="E35" s="24" t="n"/>
      <c r="F35" s="22" t="n"/>
      <c r="G35" s="24" t="n"/>
      <c r="H35" s="26" t="n"/>
      <c r="I35" s="26" t="n"/>
      <c r="J35" s="26" t="n"/>
      <c r="K35" s="26" t="n"/>
      <c r="L35" s="26" t="n"/>
      <c r="M35" s="24" t="n"/>
      <c r="N35" s="24" t="n"/>
    </row>
    <row r="36">
      <c r="A36" s="22" t="n"/>
      <c r="B36" s="23" t="n"/>
      <c r="C36" s="24" t="n"/>
      <c r="D36" s="24" t="n"/>
      <c r="E36" s="24" t="n"/>
      <c r="F36" s="22" t="n"/>
      <c r="G36" s="24" t="n"/>
      <c r="H36" s="26" t="n"/>
      <c r="I36" s="26" t="n"/>
      <c r="J36" s="26" t="n"/>
      <c r="K36" s="26" t="n"/>
      <c r="L36" s="26" t="n"/>
      <c r="M36" s="24" t="n"/>
      <c r="N36" s="24" t="n"/>
    </row>
    <row r="37">
      <c r="A37" s="22" t="n"/>
      <c r="B37" s="23" t="n"/>
      <c r="C37" s="24" t="n"/>
      <c r="D37" s="24" t="n"/>
      <c r="E37" s="24" t="n"/>
      <c r="F37" s="22" t="n"/>
      <c r="G37" s="24" t="n"/>
      <c r="H37" s="26" t="n"/>
      <c r="I37" s="26" t="n"/>
      <c r="J37" s="26" t="n"/>
      <c r="K37" s="26" t="n"/>
      <c r="L37" s="26" t="n"/>
      <c r="M37" s="24" t="n"/>
      <c r="N37" s="24" t="n"/>
    </row>
    <row r="38">
      <c r="A38" s="22" t="n"/>
      <c r="B38" s="23" t="n"/>
      <c r="C38" s="24" t="n"/>
      <c r="D38" s="24" t="n"/>
      <c r="E38" s="24" t="n"/>
      <c r="F38" s="22" t="n"/>
      <c r="G38" s="24" t="n"/>
      <c r="H38" s="26" t="n"/>
      <c r="I38" s="26" t="n"/>
      <c r="J38" s="26" t="n"/>
      <c r="K38" s="26" t="n"/>
      <c r="L38" s="26" t="n"/>
      <c r="M38" s="24" t="n"/>
      <c r="N38" s="24" t="n"/>
    </row>
    <row r="39">
      <c r="A39" s="22" t="n"/>
      <c r="B39" s="23" t="n"/>
      <c r="C39" s="24" t="n"/>
      <c r="D39" s="24" t="n"/>
      <c r="E39" s="24" t="n"/>
      <c r="F39" s="22" t="n"/>
      <c r="G39" s="24" t="n"/>
      <c r="H39" s="26" t="n"/>
      <c r="I39" s="26" t="n"/>
      <c r="J39" s="26" t="n"/>
      <c r="K39" s="26" t="n"/>
      <c r="L39" s="26" t="n"/>
      <c r="M39" s="24" t="n"/>
      <c r="N39" s="24" t="n"/>
    </row>
    <row r="40">
      <c r="A40" s="22" t="n"/>
      <c r="B40" s="23" t="n"/>
      <c r="C40" s="24" t="n"/>
      <c r="D40" s="24" t="n"/>
      <c r="E40" s="24" t="n"/>
      <c r="F40" s="22" t="n"/>
      <c r="G40" s="24" t="n"/>
      <c r="H40" s="26" t="n"/>
      <c r="I40" s="26" t="n"/>
      <c r="J40" s="26" t="n"/>
      <c r="K40" s="26" t="n"/>
      <c r="L40" s="26" t="n"/>
      <c r="M40" s="24" t="n"/>
      <c r="N40" s="24" t="n"/>
    </row>
    <row r="41">
      <c r="A41" s="22" t="n"/>
      <c r="B41" s="23" t="n"/>
      <c r="C41" s="24" t="n"/>
      <c r="D41" s="24" t="n"/>
      <c r="E41" s="24" t="n"/>
      <c r="F41" s="22" t="n"/>
      <c r="G41" s="24" t="n"/>
      <c r="H41" s="26" t="n"/>
      <c r="I41" s="26" t="n"/>
      <c r="J41" s="26" t="n"/>
      <c r="K41" s="26" t="n"/>
      <c r="L41" s="26" t="n"/>
      <c r="M41" s="24" t="n"/>
      <c r="N41" s="24" t="n"/>
    </row>
    <row r="42">
      <c r="A42" s="22" t="n"/>
      <c r="B42" s="23" t="n"/>
      <c r="C42" s="24" t="n"/>
      <c r="D42" s="24" t="n"/>
      <c r="E42" s="24" t="n"/>
      <c r="F42" s="22" t="n"/>
      <c r="G42" s="24" t="n"/>
      <c r="H42" s="26" t="n"/>
      <c r="I42" s="26" t="n"/>
      <c r="J42" s="26" t="n"/>
      <c r="K42" s="26" t="n"/>
      <c r="L42" s="26" t="n"/>
      <c r="M42" s="24" t="n"/>
      <c r="N42" s="24" t="n"/>
    </row>
    <row r="43">
      <c r="A43" s="22" t="n"/>
      <c r="B43" s="23" t="n"/>
      <c r="C43" s="24" t="n"/>
      <c r="D43" s="24" t="n"/>
      <c r="E43" s="24" t="n"/>
      <c r="F43" s="22" t="n"/>
      <c r="G43" s="24" t="n"/>
      <c r="H43" s="26" t="n"/>
      <c r="I43" s="26" t="n"/>
      <c r="J43" s="26" t="n"/>
      <c r="K43" s="26" t="n"/>
      <c r="L43" s="26" t="n"/>
      <c r="M43" s="24" t="n"/>
      <c r="N43" s="24" t="n"/>
    </row>
    <row r="44">
      <c r="A44" s="22" t="n"/>
      <c r="B44" s="23" t="n"/>
      <c r="C44" s="24" t="n"/>
      <c r="D44" s="24" t="n"/>
      <c r="E44" s="24" t="n"/>
      <c r="F44" s="22" t="n"/>
      <c r="G44" s="24" t="n"/>
      <c r="H44" s="26" t="n"/>
      <c r="I44" s="26" t="n"/>
      <c r="J44" s="26" t="n"/>
      <c r="K44" s="26" t="n"/>
      <c r="L44" s="26" t="n"/>
      <c r="M44" s="24" t="n"/>
      <c r="N44" s="24" t="n"/>
    </row>
    <row r="45">
      <c r="A45" s="22" t="n"/>
      <c r="B45" s="23" t="n"/>
      <c r="C45" s="24" t="n"/>
      <c r="D45" s="24" t="n"/>
      <c r="E45" s="24" t="n"/>
      <c r="F45" s="22" t="n"/>
      <c r="G45" s="24" t="n"/>
      <c r="H45" s="26" t="n"/>
      <c r="I45" s="26" t="n"/>
      <c r="J45" s="26" t="n"/>
      <c r="K45" s="26" t="n"/>
      <c r="L45" s="26" t="n"/>
      <c r="M45" s="24" t="n"/>
      <c r="N45" s="24" t="n"/>
    </row>
    <row r="46">
      <c r="A46" s="22" t="n"/>
      <c r="B46" s="23" t="n"/>
      <c r="C46" s="24" t="n"/>
      <c r="D46" s="24" t="n"/>
      <c r="E46" s="24" t="n"/>
      <c r="F46" s="22" t="n"/>
      <c r="G46" s="24" t="n"/>
      <c r="H46" s="26" t="n"/>
      <c r="I46" s="26" t="n"/>
      <c r="J46" s="26" t="n"/>
      <c r="K46" s="26" t="n"/>
      <c r="L46" s="26" t="n"/>
      <c r="M46" s="24" t="n"/>
      <c r="N46" s="24" t="n"/>
    </row>
    <row r="47">
      <c r="A47" s="22" t="n"/>
      <c r="B47" s="23" t="n"/>
      <c r="C47" s="24" t="n"/>
      <c r="D47" s="24" t="n"/>
      <c r="E47" s="24" t="n"/>
      <c r="F47" s="22" t="n"/>
      <c r="G47" s="24" t="n"/>
      <c r="H47" s="26" t="n"/>
      <c r="I47" s="26" t="n"/>
      <c r="J47" s="26" t="n"/>
      <c r="K47" s="26" t="n"/>
      <c r="L47" s="26" t="n"/>
      <c r="M47" s="24" t="n"/>
      <c r="N47" s="24" t="n"/>
    </row>
    <row r="48">
      <c r="A48" s="22" t="n"/>
      <c r="B48" s="23" t="n"/>
      <c r="C48" s="24" t="n"/>
      <c r="D48" s="24" t="n"/>
      <c r="E48" s="24" t="n"/>
      <c r="F48" s="22" t="n"/>
      <c r="G48" s="24" t="n"/>
      <c r="H48" s="26" t="n"/>
      <c r="I48" s="26" t="n"/>
      <c r="J48" s="26" t="n"/>
      <c r="K48" s="26" t="n"/>
      <c r="L48" s="26" t="n"/>
      <c r="M48" s="24" t="n"/>
      <c r="N48" s="24" t="n"/>
    </row>
    <row r="49">
      <c r="A49" s="22" t="n"/>
      <c r="B49" s="23" t="n"/>
      <c r="C49" s="24" t="n"/>
      <c r="D49" s="24" t="n"/>
      <c r="E49" s="24" t="n"/>
      <c r="F49" s="22" t="n"/>
      <c r="G49" s="24" t="n"/>
      <c r="H49" s="26" t="n"/>
      <c r="I49" s="26" t="n"/>
      <c r="J49" s="26" t="n"/>
      <c r="K49" s="26" t="n"/>
      <c r="L49" s="26" t="n"/>
      <c r="M49" s="24" t="n"/>
      <c r="N49" s="24" t="n"/>
    </row>
    <row r="50">
      <c r="A50" s="22" t="n"/>
      <c r="B50" s="23" t="n"/>
      <c r="C50" s="24" t="n"/>
      <c r="D50" s="24" t="n"/>
      <c r="E50" s="24" t="n"/>
      <c r="F50" s="22" t="n"/>
      <c r="G50" s="24" t="n"/>
      <c r="H50" s="26" t="n"/>
      <c r="I50" s="26" t="n"/>
      <c r="J50" s="26" t="n"/>
      <c r="K50" s="26" t="n"/>
      <c r="L50" s="26" t="n"/>
      <c r="M50" s="24" t="n"/>
      <c r="N50" s="24" t="n"/>
    </row>
    <row r="51">
      <c r="A51" s="22" t="n"/>
      <c r="B51" s="23" t="n"/>
      <c r="C51" s="24" t="n"/>
      <c r="D51" s="24" t="n"/>
      <c r="E51" s="24" t="n"/>
      <c r="F51" s="22" t="n"/>
      <c r="G51" s="24" t="n"/>
      <c r="H51" s="26" t="n"/>
      <c r="I51" s="26" t="n"/>
      <c r="J51" s="26" t="n"/>
      <c r="K51" s="26" t="n"/>
      <c r="L51" s="26" t="n"/>
      <c r="M51" s="24" t="n"/>
      <c r="N51" s="24" t="n"/>
    </row>
    <row r="52">
      <c r="A52" s="22" t="n"/>
      <c r="B52" s="23" t="n"/>
      <c r="C52" s="24" t="n"/>
      <c r="D52" s="24" t="n"/>
      <c r="E52" s="24" t="n"/>
      <c r="F52" s="22" t="n"/>
      <c r="G52" s="24" t="n"/>
      <c r="H52" s="26" t="n"/>
      <c r="I52" s="26" t="n"/>
      <c r="J52" s="26" t="n"/>
      <c r="K52" s="26" t="n"/>
      <c r="L52" s="26" t="n"/>
      <c r="M52" s="24" t="n"/>
      <c r="N52" s="24" t="n"/>
    </row>
    <row r="53">
      <c r="A53" s="22" t="n"/>
      <c r="B53" s="23" t="n"/>
      <c r="C53" s="24" t="n"/>
      <c r="D53" s="24" t="n"/>
      <c r="E53" s="24" t="n"/>
      <c r="F53" s="22" t="n"/>
      <c r="G53" s="24" t="n"/>
      <c r="H53" s="26" t="n"/>
      <c r="I53" s="26" t="n"/>
      <c r="J53" s="26" t="n"/>
      <c r="K53" s="26" t="n"/>
      <c r="L53" s="26" t="n"/>
      <c r="M53" s="24" t="n"/>
      <c r="N53" s="24" t="n"/>
    </row>
    <row r="54">
      <c r="A54" s="22" t="n"/>
      <c r="B54" s="23" t="n"/>
      <c r="C54" s="24" t="n"/>
      <c r="D54" s="24" t="n"/>
      <c r="E54" s="24" t="n"/>
      <c r="F54" s="22" t="n"/>
      <c r="G54" s="24" t="n"/>
      <c r="H54" s="26" t="n"/>
      <c r="I54" s="26" t="n"/>
      <c r="J54" s="26" t="n"/>
      <c r="K54" s="26" t="n"/>
      <c r="L54" s="26" t="n"/>
      <c r="M54" s="24" t="n"/>
      <c r="N54" s="24" t="n"/>
    </row>
    <row r="55">
      <c r="A55" s="22" t="n"/>
      <c r="B55" s="23" t="n"/>
      <c r="C55" s="24" t="n"/>
      <c r="D55" s="24" t="n"/>
      <c r="E55" s="24" t="n"/>
      <c r="F55" s="22" t="n"/>
      <c r="G55" s="24" t="n"/>
      <c r="H55" s="26" t="n"/>
      <c r="I55" s="26" t="n"/>
      <c r="J55" s="26" t="n"/>
      <c r="K55" s="26" t="n"/>
      <c r="L55" s="26" t="n"/>
      <c r="M55" s="24" t="n"/>
      <c r="N55" s="24" t="n"/>
    </row>
    <row r="56">
      <c r="A56" s="22" t="n"/>
      <c r="B56" s="23" t="n"/>
      <c r="C56" s="24" t="n"/>
      <c r="D56" s="24" t="n"/>
      <c r="E56" s="24" t="n"/>
      <c r="F56" s="22" t="n"/>
      <c r="G56" s="24" t="n"/>
      <c r="H56" s="26" t="n"/>
      <c r="I56" s="26" t="n"/>
      <c r="J56" s="26" t="n"/>
      <c r="K56" s="26" t="n"/>
      <c r="L56" s="26" t="n"/>
      <c r="M56" s="24" t="n"/>
      <c r="N56" s="24" t="n"/>
    </row>
    <row r="57">
      <c r="A57" s="22" t="n"/>
      <c r="B57" s="23" t="n"/>
      <c r="C57" s="24" t="n"/>
      <c r="D57" s="24" t="n"/>
      <c r="E57" s="24" t="n"/>
      <c r="F57" s="22" t="n"/>
      <c r="G57" s="24" t="n"/>
      <c r="H57" s="26" t="n"/>
      <c r="I57" s="26" t="n"/>
      <c r="J57" s="26" t="n"/>
      <c r="K57" s="26" t="n"/>
      <c r="L57" s="26" t="n"/>
      <c r="M57" s="24" t="n"/>
      <c r="N57" s="24" t="n"/>
    </row>
    <row r="58">
      <c r="A58" s="22" t="n"/>
      <c r="B58" s="23" t="n"/>
      <c r="C58" s="24" t="n"/>
      <c r="D58" s="24" t="n"/>
      <c r="E58" s="24" t="n"/>
      <c r="F58" s="22" t="n"/>
      <c r="G58" s="24" t="n"/>
      <c r="H58" s="26" t="n"/>
      <c r="I58" s="26" t="n"/>
      <c r="J58" s="26" t="n"/>
      <c r="K58" s="26" t="n"/>
      <c r="L58" s="26" t="n"/>
      <c r="M58" s="24" t="n"/>
      <c r="N58" s="24" t="n"/>
    </row>
    <row r="59">
      <c r="A59" s="22" t="n"/>
      <c r="B59" s="23" t="n"/>
      <c r="C59" s="24" t="n"/>
      <c r="D59" s="24" t="n"/>
      <c r="E59" s="24" t="n"/>
      <c r="F59" s="22" t="n"/>
      <c r="G59" s="24" t="n"/>
      <c r="H59" s="26" t="n"/>
      <c r="I59" s="26" t="n"/>
      <c r="J59" s="26" t="n"/>
      <c r="K59" s="26" t="n"/>
      <c r="L59" s="26" t="n"/>
      <c r="M59" s="24" t="n"/>
      <c r="N59" s="24" t="n"/>
    </row>
    <row r="60">
      <c r="A60" s="22" t="n"/>
      <c r="B60" s="23" t="n"/>
      <c r="C60" s="24" t="n"/>
      <c r="D60" s="24" t="n"/>
      <c r="E60" s="24" t="n"/>
      <c r="F60" s="22" t="n"/>
      <c r="G60" s="24" t="n"/>
      <c r="H60" s="26" t="n"/>
      <c r="I60" s="26" t="n"/>
      <c r="J60" s="26" t="n"/>
      <c r="K60" s="26" t="n"/>
      <c r="L60" s="26" t="n"/>
      <c r="M60" s="24" t="n"/>
      <c r="N60" s="24" t="n"/>
    </row>
    <row r="61">
      <c r="A61" s="22" t="n"/>
      <c r="B61" s="23" t="n"/>
      <c r="C61" s="24" t="n"/>
      <c r="D61" s="24" t="n"/>
      <c r="E61" s="24" t="n"/>
      <c r="F61" s="22" t="n"/>
      <c r="G61" s="24" t="n"/>
      <c r="H61" s="26" t="n"/>
      <c r="I61" s="26" t="n"/>
      <c r="J61" s="26" t="n"/>
      <c r="K61" s="26" t="n"/>
      <c r="L61" s="26" t="n"/>
      <c r="M61" s="24" t="n"/>
      <c r="N61" s="24" t="n"/>
    </row>
    <row r="62">
      <c r="A62" s="22" t="n"/>
      <c r="B62" s="23" t="n"/>
      <c r="C62" s="24" t="n"/>
      <c r="D62" s="24" t="n"/>
      <c r="E62" s="24" t="n"/>
      <c r="F62" s="22" t="n"/>
      <c r="G62" s="24" t="n"/>
      <c r="H62" s="26" t="n"/>
      <c r="I62" s="26" t="n"/>
      <c r="J62" s="26" t="n"/>
      <c r="K62" s="26" t="n"/>
      <c r="L62" s="26" t="n"/>
      <c r="M62" s="24" t="n"/>
      <c r="N62" s="24" t="n"/>
    </row>
    <row r="63">
      <c r="A63" s="22" t="n"/>
      <c r="B63" s="23" t="n"/>
      <c r="C63" s="24" t="n"/>
      <c r="D63" s="24" t="n"/>
      <c r="E63" s="24" t="n"/>
      <c r="F63" s="22" t="n"/>
      <c r="G63" s="24" t="n"/>
      <c r="H63" s="26" t="n"/>
      <c r="I63" s="26" t="n"/>
      <c r="J63" s="26" t="n"/>
      <c r="K63" s="26" t="n"/>
      <c r="L63" s="26" t="n"/>
      <c r="M63" s="24" t="n"/>
      <c r="N63" s="24" t="n"/>
    </row>
    <row r="64">
      <c r="A64" s="22" t="n"/>
      <c r="B64" s="23" t="n"/>
      <c r="C64" s="24" t="n"/>
      <c r="D64" s="24" t="n"/>
      <c r="E64" s="24" t="n"/>
      <c r="F64" s="22" t="n"/>
      <c r="G64" s="24" t="n"/>
      <c r="H64" s="26" t="n"/>
      <c r="I64" s="26" t="n"/>
      <c r="J64" s="26" t="n"/>
      <c r="K64" s="26" t="n"/>
      <c r="L64" s="26" t="n"/>
      <c r="M64" s="24" t="n"/>
      <c r="N64" s="24" t="n"/>
    </row>
    <row r="65">
      <c r="A65" s="22" t="n"/>
      <c r="B65" s="23" t="n"/>
      <c r="C65" s="24" t="n"/>
      <c r="D65" s="24" t="n"/>
      <c r="E65" s="24" t="n"/>
      <c r="F65" s="22" t="n"/>
      <c r="G65" s="24" t="n"/>
      <c r="H65" s="26" t="n"/>
      <c r="I65" s="26" t="n"/>
      <c r="J65" s="26" t="n"/>
      <c r="K65" s="26" t="n"/>
      <c r="L65" s="26" t="n"/>
      <c r="M65" s="24" t="n"/>
      <c r="N65" s="24" t="n"/>
    </row>
    <row r="66">
      <c r="A66" s="22" t="n"/>
      <c r="B66" s="23" t="n"/>
      <c r="C66" s="24" t="n"/>
      <c r="D66" s="24" t="n"/>
      <c r="E66" s="24" t="n"/>
      <c r="F66" s="22" t="n"/>
      <c r="G66" s="24" t="n"/>
      <c r="H66" s="26" t="n"/>
      <c r="I66" s="26" t="n"/>
      <c r="J66" s="26" t="n"/>
      <c r="K66" s="26" t="n"/>
      <c r="L66" s="26" t="n"/>
      <c r="M66" s="24" t="n"/>
      <c r="N66" s="24" t="n"/>
    </row>
    <row r="67">
      <c r="A67" s="22" t="n"/>
      <c r="B67" s="23" t="n"/>
      <c r="C67" s="24" t="n"/>
      <c r="D67" s="24" t="n"/>
      <c r="E67" s="24" t="n"/>
      <c r="F67" s="22" t="n"/>
      <c r="G67" s="24" t="n"/>
      <c r="H67" s="26" t="n"/>
      <c r="I67" s="26" t="n"/>
      <c r="J67" s="26" t="n"/>
      <c r="K67" s="26" t="n"/>
      <c r="L67" s="26" t="n"/>
      <c r="M67" s="24" t="n"/>
      <c r="N67" s="24" t="n"/>
    </row>
    <row r="68">
      <c r="A68" s="22" t="n"/>
      <c r="B68" s="23" t="n"/>
      <c r="C68" s="24" t="n"/>
      <c r="D68" s="24" t="n"/>
      <c r="E68" s="24" t="n"/>
      <c r="F68" s="22" t="n"/>
      <c r="G68" s="24" t="n"/>
      <c r="H68" s="26" t="n"/>
      <c r="I68" s="26" t="n"/>
      <c r="J68" s="26" t="n"/>
      <c r="K68" s="26" t="n"/>
      <c r="L68" s="26" t="n"/>
      <c r="M68" s="24" t="n"/>
      <c r="N68" s="24" t="n"/>
    </row>
    <row r="69">
      <c r="A69" s="22" t="n"/>
      <c r="B69" s="23" t="n"/>
      <c r="C69" s="24" t="n"/>
      <c r="D69" s="24" t="n"/>
      <c r="E69" s="24" t="n"/>
      <c r="F69" s="22" t="n"/>
      <c r="G69" s="24" t="n"/>
      <c r="H69" s="26" t="n"/>
      <c r="I69" s="26" t="n"/>
      <c r="J69" s="26" t="n"/>
      <c r="K69" s="26" t="n"/>
      <c r="L69" s="26" t="n"/>
      <c r="M69" s="24" t="n"/>
      <c r="N69" s="24" t="n"/>
    </row>
    <row r="70">
      <c r="A70" s="22" t="n"/>
      <c r="B70" s="23" t="n"/>
      <c r="C70" s="24" t="n"/>
      <c r="D70" s="24" t="n"/>
      <c r="E70" s="24" t="n"/>
      <c r="F70" s="22" t="n"/>
      <c r="G70" s="24" t="n"/>
      <c r="H70" s="26" t="n"/>
      <c r="I70" s="26" t="n"/>
      <c r="J70" s="26" t="n"/>
      <c r="K70" s="26" t="n"/>
      <c r="L70" s="26" t="n"/>
      <c r="M70" s="24" t="n"/>
      <c r="N70" s="24" t="n"/>
    </row>
    <row r="71">
      <c r="A71" s="22" t="n"/>
      <c r="B71" s="23" t="n"/>
      <c r="C71" s="24" t="n"/>
      <c r="D71" s="24" t="n"/>
      <c r="E71" s="24" t="n"/>
      <c r="F71" s="22" t="n"/>
      <c r="G71" s="24" t="n"/>
      <c r="H71" s="26" t="n"/>
      <c r="I71" s="26" t="n"/>
      <c r="J71" s="26" t="n"/>
      <c r="K71" s="26" t="n"/>
      <c r="L71" s="26" t="n"/>
      <c r="M71" s="24" t="n"/>
      <c r="N71" s="24" t="n"/>
    </row>
    <row r="72">
      <c r="A72" s="22" t="n"/>
      <c r="B72" s="23" t="n"/>
      <c r="C72" s="24" t="n"/>
      <c r="D72" s="24" t="n"/>
      <c r="E72" s="24" t="n"/>
      <c r="F72" s="22" t="n"/>
      <c r="G72" s="24" t="n"/>
      <c r="H72" s="26" t="n"/>
      <c r="I72" s="26" t="n"/>
      <c r="J72" s="26" t="n"/>
      <c r="K72" s="26" t="n"/>
      <c r="L72" s="26" t="n"/>
      <c r="M72" s="24" t="n"/>
      <c r="N72" s="24" t="n"/>
    </row>
    <row r="73">
      <c r="A73" s="22" t="n"/>
      <c r="B73" s="23" t="n"/>
      <c r="C73" s="24" t="n"/>
      <c r="D73" s="24" t="n"/>
      <c r="E73" s="24" t="n"/>
      <c r="F73" s="22" t="n"/>
      <c r="G73" s="24" t="n"/>
      <c r="H73" s="26" t="n"/>
      <c r="I73" s="26" t="n"/>
      <c r="J73" s="26" t="n"/>
      <c r="K73" s="26" t="n"/>
      <c r="L73" s="26" t="n"/>
      <c r="M73" s="24" t="n"/>
      <c r="N73" s="24" t="n"/>
    </row>
    <row r="74">
      <c r="A74" s="22" t="n"/>
      <c r="B74" s="23" t="n"/>
      <c r="C74" s="24" t="n"/>
      <c r="D74" s="24" t="n"/>
      <c r="E74" s="24" t="n"/>
      <c r="F74" s="22" t="n"/>
      <c r="G74" s="24" t="n"/>
      <c r="H74" s="26" t="n"/>
      <c r="I74" s="26" t="n"/>
      <c r="J74" s="26" t="n"/>
      <c r="K74" s="26" t="n"/>
      <c r="L74" s="26" t="n"/>
      <c r="M74" s="24" t="n"/>
      <c r="N74" s="24" t="n"/>
    </row>
    <row r="75">
      <c r="A75" s="22" t="n"/>
      <c r="B75" s="23" t="n"/>
      <c r="C75" s="24" t="n"/>
      <c r="D75" s="24" t="n"/>
      <c r="E75" s="24" t="n"/>
      <c r="F75" s="22" t="n"/>
      <c r="G75" s="24" t="n"/>
      <c r="H75" s="26" t="n"/>
      <c r="I75" s="26" t="n"/>
      <c r="J75" s="26" t="n"/>
      <c r="K75" s="26" t="n"/>
      <c r="L75" s="26" t="n"/>
      <c r="M75" s="24" t="n"/>
      <c r="N75" s="24" t="n"/>
    </row>
    <row r="76">
      <c r="A76" s="22" t="n"/>
      <c r="B76" s="23" t="n"/>
      <c r="C76" s="24" t="n"/>
      <c r="D76" s="24" t="n"/>
      <c r="E76" s="24" t="n"/>
      <c r="F76" s="22" t="n"/>
      <c r="G76" s="24" t="n"/>
      <c r="H76" s="26" t="n"/>
      <c r="I76" s="26" t="n"/>
      <c r="J76" s="26" t="n"/>
      <c r="K76" s="26" t="n"/>
      <c r="L76" s="26" t="n"/>
      <c r="M76" s="24" t="n"/>
      <c r="N76" s="24" t="n"/>
    </row>
    <row r="77">
      <c r="A77" s="22" t="n"/>
      <c r="B77" s="23" t="n"/>
      <c r="C77" s="24" t="n"/>
      <c r="D77" s="24" t="n"/>
      <c r="E77" s="24" t="n"/>
      <c r="F77" s="22" t="n"/>
      <c r="G77" s="24" t="n"/>
      <c r="H77" s="26" t="n"/>
      <c r="I77" s="26" t="n"/>
      <c r="J77" s="26" t="n"/>
      <c r="K77" s="26" t="n"/>
      <c r="L77" s="26" t="n"/>
      <c r="M77" s="24" t="n"/>
      <c r="N77" s="24" t="n"/>
    </row>
    <row r="78">
      <c r="A78" s="22" t="n"/>
      <c r="B78" s="23" t="n"/>
      <c r="C78" s="24" t="n"/>
      <c r="D78" s="24" t="n"/>
      <c r="E78" s="24" t="n"/>
      <c r="F78" s="22" t="n"/>
      <c r="G78" s="24" t="n"/>
      <c r="H78" s="26" t="n"/>
      <c r="I78" s="26" t="n"/>
      <c r="J78" s="26" t="n"/>
      <c r="K78" s="26" t="n"/>
      <c r="L78" s="26" t="n"/>
      <c r="M78" s="24" t="n"/>
      <c r="N78" s="24" t="n"/>
    </row>
    <row r="79">
      <c r="A79" s="22" t="n"/>
      <c r="B79" s="23" t="n"/>
      <c r="C79" s="24" t="n"/>
      <c r="D79" s="24" t="n"/>
      <c r="E79" s="24" t="n"/>
      <c r="F79" s="22" t="n"/>
      <c r="G79" s="24" t="n"/>
      <c r="H79" s="26" t="n"/>
      <c r="I79" s="26" t="n"/>
      <c r="J79" s="26" t="n"/>
      <c r="K79" s="26" t="n"/>
      <c r="L79" s="26" t="n"/>
      <c r="M79" s="24" t="n"/>
      <c r="N79" s="24" t="n"/>
    </row>
    <row r="80">
      <c r="A80" s="22" t="n"/>
      <c r="B80" s="23" t="n"/>
      <c r="C80" s="24" t="n"/>
      <c r="D80" s="24" t="n"/>
      <c r="E80" s="24" t="n"/>
      <c r="F80" s="22" t="n"/>
      <c r="G80" s="24" t="n"/>
      <c r="H80" s="26" t="n"/>
      <c r="I80" s="26" t="n"/>
      <c r="J80" s="26" t="n"/>
      <c r="K80" s="26" t="n"/>
      <c r="L80" s="26" t="n"/>
      <c r="M80" s="24" t="n"/>
      <c r="N80" s="24" t="n"/>
    </row>
    <row r="81">
      <c r="A81" s="22" t="n"/>
      <c r="B81" s="23" t="n"/>
      <c r="C81" s="24" t="n"/>
      <c r="D81" s="24" t="n"/>
      <c r="E81" s="24" t="n"/>
      <c r="F81" s="22" t="n"/>
      <c r="G81" s="24" t="n"/>
      <c r="H81" s="26" t="n"/>
      <c r="I81" s="26" t="n"/>
      <c r="J81" s="26" t="n"/>
      <c r="K81" s="26" t="n"/>
      <c r="L81" s="26" t="n"/>
      <c r="M81" s="24" t="n"/>
      <c r="N81" s="24" t="n"/>
    </row>
    <row r="82">
      <c r="A82" s="22" t="n"/>
      <c r="B82" s="23" t="n"/>
      <c r="C82" s="24" t="n"/>
      <c r="D82" s="24" t="n"/>
      <c r="E82" s="24" t="n"/>
      <c r="F82" s="22" t="n"/>
      <c r="G82" s="24" t="n"/>
      <c r="H82" s="26" t="n"/>
      <c r="I82" s="26" t="n"/>
      <c r="J82" s="26" t="n"/>
      <c r="K82" s="26" t="n"/>
      <c r="L82" s="26" t="n"/>
      <c r="M82" s="24" t="n"/>
      <c r="N82" s="24" t="n"/>
    </row>
    <row r="83">
      <c r="A83" s="22" t="n"/>
      <c r="B83" s="23" t="n"/>
      <c r="C83" s="24" t="n"/>
      <c r="D83" s="24" t="n"/>
      <c r="E83" s="24" t="n"/>
      <c r="F83" s="22" t="n"/>
      <c r="G83" s="24" t="n"/>
      <c r="H83" s="26" t="n"/>
      <c r="I83" s="26" t="n"/>
      <c r="J83" s="26" t="n"/>
      <c r="K83" s="26" t="n"/>
      <c r="L83" s="26" t="n"/>
      <c r="M83" s="24" t="n"/>
      <c r="N83" s="24" t="n"/>
    </row>
    <row r="84">
      <c r="A84" s="22" t="n"/>
      <c r="B84" s="23" t="n"/>
      <c r="C84" s="24" t="n"/>
      <c r="D84" s="24" t="n"/>
      <c r="E84" s="24" t="n"/>
      <c r="F84" s="22" t="n"/>
      <c r="G84" s="24" t="n"/>
      <c r="H84" s="26" t="n"/>
      <c r="I84" s="26" t="n"/>
      <c r="J84" s="26" t="n"/>
      <c r="K84" s="26" t="n"/>
      <c r="L84" s="26" t="n"/>
      <c r="M84" s="24" t="n"/>
      <c r="N84" s="24" t="n"/>
    </row>
    <row r="85">
      <c r="A85" s="22" t="n"/>
      <c r="B85" s="23" t="n"/>
      <c r="C85" s="24" t="n"/>
      <c r="D85" s="24" t="n"/>
      <c r="E85" s="24" t="n"/>
      <c r="F85" s="22" t="n"/>
      <c r="G85" s="24" t="n"/>
      <c r="H85" s="26" t="n"/>
      <c r="I85" s="26" t="n"/>
      <c r="J85" s="26" t="n"/>
      <c r="K85" s="26" t="n"/>
      <c r="L85" s="26" t="n"/>
      <c r="M85" s="24" t="n"/>
      <c r="N85" s="24" t="n"/>
    </row>
    <row r="86">
      <c r="A86" s="22" t="n"/>
      <c r="B86" s="23" t="n"/>
      <c r="C86" s="24" t="n"/>
      <c r="D86" s="24" t="n"/>
      <c r="E86" s="24" t="n"/>
      <c r="F86" s="22" t="n"/>
      <c r="G86" s="24" t="n"/>
      <c r="H86" s="26" t="n"/>
      <c r="I86" s="26" t="n"/>
      <c r="J86" s="26" t="n"/>
      <c r="K86" s="26" t="n"/>
      <c r="L86" s="26" t="n"/>
      <c r="M86" s="24" t="n"/>
      <c r="N86" s="24" t="n"/>
    </row>
    <row r="87">
      <c r="A87" s="22" t="n"/>
      <c r="B87" s="23" t="n"/>
      <c r="C87" s="24" t="n"/>
      <c r="D87" s="24" t="n"/>
      <c r="E87" s="24" t="n"/>
      <c r="F87" s="22" t="n"/>
      <c r="G87" s="24" t="n"/>
      <c r="H87" s="26" t="n"/>
      <c r="I87" s="26" t="n"/>
      <c r="J87" s="26" t="n"/>
      <c r="K87" s="26" t="n"/>
      <c r="L87" s="26" t="n"/>
      <c r="M87" s="24" t="n"/>
      <c r="N87" s="24" t="n"/>
    </row>
    <row r="88">
      <c r="A88" s="22" t="n"/>
      <c r="B88" s="23" t="n"/>
      <c r="C88" s="24" t="n"/>
      <c r="D88" s="24" t="n"/>
      <c r="E88" s="24" t="n"/>
      <c r="F88" s="22" t="n"/>
      <c r="G88" s="24" t="n"/>
      <c r="H88" s="26" t="n"/>
      <c r="I88" s="26" t="n"/>
      <c r="J88" s="26" t="n"/>
      <c r="K88" s="26" t="n"/>
      <c r="L88" s="26" t="n"/>
      <c r="M88" s="24" t="n"/>
      <c r="N88" s="24" t="n"/>
    </row>
    <row r="89">
      <c r="A89" s="22" t="n"/>
      <c r="B89" s="23" t="n"/>
      <c r="C89" s="24" t="n"/>
      <c r="D89" s="24" t="n"/>
      <c r="E89" s="24" t="n"/>
      <c r="F89" s="22" t="n"/>
      <c r="G89" s="24" t="n"/>
      <c r="H89" s="26" t="n"/>
      <c r="I89" s="26" t="n"/>
      <c r="J89" s="26" t="n"/>
      <c r="K89" s="26" t="n"/>
      <c r="L89" s="26" t="n"/>
      <c r="M89" s="24" t="n"/>
      <c r="N89" s="24" t="n"/>
    </row>
    <row r="90">
      <c r="A90" s="22" t="n"/>
      <c r="B90" s="23" t="n"/>
      <c r="C90" s="24" t="n"/>
      <c r="D90" s="24" t="n"/>
      <c r="E90" s="24" t="n"/>
      <c r="F90" s="22" t="n"/>
      <c r="G90" s="24" t="n"/>
      <c r="H90" s="26" t="n"/>
      <c r="I90" s="26" t="n"/>
      <c r="J90" s="26" t="n"/>
      <c r="K90" s="26" t="n"/>
      <c r="L90" s="26" t="n"/>
      <c r="M90" s="24" t="n"/>
      <c r="N90" s="24" t="n"/>
    </row>
    <row r="91">
      <c r="A91" s="22" t="n"/>
      <c r="B91" s="23" t="n"/>
      <c r="C91" s="24" t="n"/>
      <c r="D91" s="24" t="n"/>
      <c r="E91" s="24" t="n"/>
      <c r="F91" s="22" t="n"/>
      <c r="G91" s="24" t="n"/>
      <c r="H91" s="26" t="n"/>
      <c r="I91" s="26" t="n"/>
      <c r="J91" s="26" t="n"/>
      <c r="K91" s="26" t="n"/>
      <c r="L91" s="26" t="n"/>
      <c r="M91" s="24" t="n"/>
      <c r="N91" s="24" t="n"/>
    </row>
    <row r="92">
      <c r="A92" s="22" t="n"/>
      <c r="B92" s="23" t="n"/>
      <c r="C92" s="24" t="n"/>
      <c r="D92" s="24" t="n"/>
      <c r="E92" s="24" t="n"/>
      <c r="F92" s="22" t="n"/>
      <c r="G92" s="24" t="n"/>
      <c r="H92" s="26" t="n"/>
      <c r="I92" s="26" t="n"/>
      <c r="J92" s="26" t="n"/>
      <c r="K92" s="26" t="n"/>
      <c r="L92" s="26" t="n"/>
      <c r="M92" s="24" t="n"/>
      <c r="N92" s="24" t="n"/>
    </row>
    <row r="93">
      <c r="A93" s="22" t="n"/>
      <c r="B93" s="23" t="n"/>
      <c r="C93" s="24" t="n"/>
      <c r="D93" s="24" t="n"/>
      <c r="E93" s="24" t="n"/>
      <c r="F93" s="22" t="n"/>
      <c r="G93" s="24" t="n"/>
      <c r="H93" s="26" t="n"/>
      <c r="I93" s="26" t="n"/>
      <c r="J93" s="26" t="n"/>
      <c r="K93" s="26" t="n"/>
      <c r="L93" s="26" t="n"/>
      <c r="M93" s="24" t="n"/>
      <c r="N93" s="24" t="n"/>
    </row>
    <row r="94">
      <c r="A94" s="22" t="n"/>
      <c r="B94" s="23" t="n"/>
      <c r="C94" s="24" t="n"/>
      <c r="D94" s="24" t="n"/>
      <c r="E94" s="24" t="n"/>
      <c r="F94" s="22" t="n"/>
      <c r="G94" s="24" t="n"/>
      <c r="H94" s="26" t="n"/>
      <c r="I94" s="26" t="n"/>
      <c r="J94" s="26" t="n"/>
      <c r="K94" s="26" t="n"/>
      <c r="L94" s="26" t="n"/>
      <c r="M94" s="24" t="n"/>
      <c r="N94" s="24" t="n"/>
    </row>
    <row r="95">
      <c r="A95" s="22" t="n"/>
      <c r="B95" s="23" t="n"/>
      <c r="C95" s="24" t="n"/>
      <c r="D95" s="24" t="n"/>
      <c r="E95" s="24" t="n"/>
      <c r="F95" s="22" t="n"/>
      <c r="G95" s="24" t="n"/>
      <c r="H95" s="26" t="n"/>
      <c r="I95" s="26" t="n"/>
      <c r="J95" s="26" t="n"/>
      <c r="K95" s="26" t="n"/>
      <c r="L95" s="26" t="n"/>
      <c r="M95" s="24" t="n"/>
      <c r="N95" s="24" t="n"/>
    </row>
    <row r="96">
      <c r="A96" s="22" t="n"/>
      <c r="B96" s="23" t="n"/>
      <c r="C96" s="24" t="n"/>
      <c r="D96" s="24" t="n"/>
      <c r="E96" s="24" t="n"/>
      <c r="F96" s="22" t="n"/>
      <c r="G96" s="24" t="n"/>
      <c r="H96" s="26" t="n"/>
      <c r="I96" s="26" t="n"/>
      <c r="J96" s="26" t="n"/>
      <c r="K96" s="26" t="n"/>
      <c r="L96" s="26" t="n"/>
      <c r="M96" s="24" t="n"/>
      <c r="N96" s="24" t="n"/>
    </row>
    <row r="97">
      <c r="A97" s="22" t="n"/>
      <c r="B97" s="23" t="n"/>
      <c r="C97" s="24" t="n"/>
      <c r="D97" s="24" t="n"/>
      <c r="E97" s="24" t="n"/>
      <c r="F97" s="22" t="n"/>
      <c r="G97" s="24" t="n"/>
      <c r="H97" s="26" t="n"/>
      <c r="I97" s="26" t="n"/>
      <c r="J97" s="26" t="n"/>
      <c r="K97" s="26" t="n"/>
      <c r="L97" s="26" t="n"/>
      <c r="M97" s="24" t="n"/>
      <c r="N97" s="24" t="n"/>
    </row>
    <row r="98">
      <c r="A98" s="22" t="n"/>
      <c r="B98" s="23" t="n"/>
      <c r="C98" s="24" t="n"/>
      <c r="D98" s="24" t="n"/>
      <c r="E98" s="24" t="n"/>
      <c r="F98" s="22" t="n"/>
      <c r="G98" s="24" t="n"/>
      <c r="H98" s="26" t="n"/>
      <c r="I98" s="26" t="n"/>
      <c r="J98" s="26" t="n"/>
      <c r="K98" s="26" t="n"/>
      <c r="L98" s="26" t="n"/>
      <c r="M98" s="24" t="n"/>
      <c r="N98" s="24" t="n"/>
    </row>
    <row r="99">
      <c r="A99" s="22" t="n"/>
      <c r="B99" s="23" t="n"/>
      <c r="C99" s="24" t="n"/>
      <c r="D99" s="24" t="n"/>
      <c r="E99" s="24" t="n"/>
      <c r="F99" s="22" t="n"/>
      <c r="G99" s="24" t="n"/>
      <c r="H99" s="26" t="n"/>
      <c r="I99" s="26" t="n"/>
      <c r="J99" s="26" t="n"/>
      <c r="K99" s="26" t="n"/>
      <c r="L99" s="26" t="n"/>
      <c r="M99" s="24" t="n"/>
      <c r="N99" s="24" t="n"/>
    </row>
    <row r="100">
      <c r="A100" s="22" t="n"/>
      <c r="B100" s="23" t="n"/>
      <c r="C100" s="24" t="n"/>
      <c r="D100" s="24" t="n"/>
      <c r="E100" s="24" t="n"/>
      <c r="F100" s="22" t="n"/>
      <c r="G100" s="24" t="n"/>
      <c r="H100" s="26" t="n"/>
      <c r="I100" s="26" t="n"/>
      <c r="J100" s="26" t="n"/>
      <c r="K100" s="26" t="n"/>
      <c r="L100" s="26" t="n"/>
      <c r="M100" s="24" t="n"/>
      <c r="N100" s="24" t="n"/>
    </row>
    <row r="101">
      <c r="A101" s="22" t="n"/>
      <c r="B101" s="23" t="n"/>
      <c r="C101" s="24" t="n"/>
      <c r="D101" s="24" t="n"/>
      <c r="E101" s="24" t="n"/>
      <c r="F101" s="22" t="n"/>
      <c r="G101" s="24" t="n"/>
      <c r="H101" s="26" t="n"/>
      <c r="I101" s="26" t="n"/>
      <c r="J101" s="26" t="n"/>
      <c r="K101" s="26" t="n"/>
      <c r="L101" s="26" t="n"/>
      <c r="M101" s="24" t="n"/>
      <c r="N101" s="24" t="n"/>
    </row>
    <row r="102">
      <c r="A102" s="22" t="n"/>
      <c r="B102" s="23" t="n"/>
      <c r="C102" s="24" t="n"/>
      <c r="D102" s="24" t="n"/>
      <c r="E102" s="24" t="n"/>
      <c r="F102" s="22" t="n"/>
      <c r="G102" s="24" t="n"/>
      <c r="H102" s="26" t="n"/>
      <c r="I102" s="26" t="n"/>
      <c r="J102" s="26" t="n"/>
      <c r="K102" s="26" t="n"/>
      <c r="L102" s="26" t="n"/>
      <c r="M102" s="24" t="n"/>
      <c r="N102" s="24" t="n"/>
    </row>
    <row r="103">
      <c r="A103" s="22" t="n"/>
      <c r="B103" s="23" t="n"/>
      <c r="C103" s="24" t="n"/>
      <c r="D103" s="24" t="n"/>
      <c r="E103" s="24" t="n"/>
      <c r="F103" s="22" t="n"/>
      <c r="G103" s="24" t="n"/>
      <c r="H103" s="26" t="n"/>
      <c r="I103" s="26" t="n"/>
      <c r="J103" s="26" t="n"/>
      <c r="K103" s="26" t="n"/>
      <c r="L103" s="26" t="n"/>
      <c r="M103" s="24" t="n"/>
      <c r="N103" s="24" t="n"/>
    </row>
    <row r="104">
      <c r="A104" s="22" t="n"/>
      <c r="B104" s="23" t="n"/>
      <c r="C104" s="24" t="n"/>
      <c r="D104" s="24" t="n"/>
      <c r="E104" s="24" t="n"/>
      <c r="F104" s="22" t="n"/>
      <c r="G104" s="24" t="n"/>
      <c r="H104" s="26" t="n"/>
      <c r="I104" s="26" t="n"/>
      <c r="J104" s="26" t="n"/>
      <c r="K104" s="26" t="n"/>
      <c r="L104" s="26" t="n"/>
      <c r="M104" s="24" t="n"/>
      <c r="N104" s="24" t="n"/>
    </row>
    <row r="105">
      <c r="A105" s="22" t="n"/>
      <c r="B105" s="23" t="n"/>
      <c r="C105" s="24" t="n"/>
      <c r="D105" s="24" t="n"/>
      <c r="E105" s="24" t="n"/>
      <c r="F105" s="22" t="n"/>
      <c r="G105" s="24" t="n"/>
      <c r="H105" s="26" t="n"/>
      <c r="I105" s="26" t="n"/>
      <c r="J105" s="26" t="n"/>
      <c r="K105" s="26" t="n"/>
      <c r="L105" s="26" t="n"/>
      <c r="M105" s="24" t="n"/>
      <c r="N105" s="24" t="n"/>
    </row>
    <row r="106">
      <c r="A106" s="22" t="n"/>
      <c r="B106" s="23" t="n"/>
      <c r="C106" s="24" t="n"/>
      <c r="D106" s="24" t="n"/>
      <c r="E106" s="24" t="n"/>
      <c r="F106" s="22" t="n"/>
      <c r="G106" s="24" t="n"/>
      <c r="H106" s="26" t="n"/>
      <c r="I106" s="26" t="n"/>
      <c r="J106" s="26" t="n"/>
      <c r="K106" s="26" t="n"/>
      <c r="L106" s="26" t="n"/>
      <c r="M106" s="24" t="n"/>
      <c r="N106" s="24" t="n"/>
    </row>
    <row r="107">
      <c r="A107" s="22" t="n"/>
      <c r="B107" s="23" t="n"/>
      <c r="C107" s="24" t="n"/>
      <c r="D107" s="24" t="n"/>
      <c r="E107" s="24" t="n"/>
      <c r="F107" s="22" t="n"/>
      <c r="G107" s="24" t="n"/>
      <c r="H107" s="26" t="n"/>
      <c r="I107" s="26" t="n"/>
      <c r="J107" s="26" t="n"/>
      <c r="K107" s="26" t="n"/>
      <c r="L107" s="26" t="n"/>
      <c r="M107" s="24" t="n"/>
      <c r="N107" s="24" t="n"/>
    </row>
    <row r="108">
      <c r="A108" s="22" t="n"/>
      <c r="B108" s="23" t="n"/>
      <c r="C108" s="24" t="n"/>
      <c r="D108" s="24" t="n"/>
      <c r="E108" s="24" t="n"/>
      <c r="F108" s="22" t="n"/>
      <c r="G108" s="24" t="n"/>
      <c r="H108" s="26" t="n"/>
      <c r="I108" s="26" t="n"/>
      <c r="J108" s="26" t="n"/>
      <c r="K108" s="26" t="n"/>
      <c r="L108" s="26" t="n"/>
      <c r="M108" s="24" t="n"/>
      <c r="N108" s="24" t="n"/>
    </row>
    <row r="109">
      <c r="A109" s="22" t="n"/>
      <c r="B109" s="23" t="n"/>
      <c r="C109" s="24" t="n"/>
      <c r="D109" s="24" t="n"/>
      <c r="E109" s="24" t="n"/>
      <c r="F109" s="22" t="n"/>
      <c r="G109" s="24" t="n"/>
      <c r="H109" s="26" t="n"/>
      <c r="I109" s="26" t="n"/>
      <c r="J109" s="26" t="n"/>
      <c r="K109" s="26" t="n"/>
      <c r="L109" s="26" t="n"/>
      <c r="M109" s="24" t="n"/>
      <c r="N109" s="24" t="n"/>
    </row>
    <row r="110">
      <c r="A110" s="22" t="n"/>
      <c r="B110" s="23" t="n"/>
      <c r="C110" s="24" t="n"/>
      <c r="D110" s="24" t="n"/>
      <c r="E110" s="24" t="n"/>
      <c r="F110" s="22" t="n"/>
      <c r="G110" s="24" t="n"/>
      <c r="H110" s="26" t="n"/>
      <c r="I110" s="26" t="n"/>
      <c r="J110" s="26" t="n"/>
      <c r="K110" s="26" t="n"/>
      <c r="L110" s="26" t="n"/>
      <c r="M110" s="24" t="n"/>
      <c r="N110" s="24" t="n"/>
    </row>
    <row r="111">
      <c r="A111" s="22" t="n"/>
      <c r="B111" s="23" t="n"/>
      <c r="C111" s="24" t="n"/>
      <c r="D111" s="24" t="n"/>
      <c r="E111" s="24" t="n"/>
      <c r="F111" s="22" t="n"/>
      <c r="G111" s="24" t="n"/>
      <c r="H111" s="26" t="n"/>
      <c r="I111" s="26" t="n"/>
      <c r="J111" s="26" t="n"/>
      <c r="K111" s="26" t="n"/>
      <c r="L111" s="26" t="n"/>
      <c r="M111" s="24" t="n"/>
      <c r="N111" s="24" t="n"/>
    </row>
    <row r="112">
      <c r="A112" s="22" t="n"/>
      <c r="B112" s="23" t="n"/>
      <c r="C112" s="24" t="n"/>
      <c r="D112" s="24" t="n"/>
      <c r="E112" s="24" t="n"/>
      <c r="F112" s="22" t="n"/>
      <c r="G112" s="24" t="n"/>
      <c r="H112" s="26" t="n"/>
      <c r="I112" s="26" t="n"/>
      <c r="J112" s="26" t="n"/>
      <c r="K112" s="26" t="n"/>
      <c r="L112" s="26" t="n"/>
      <c r="M112" s="24" t="n"/>
      <c r="N112" s="24" t="n"/>
    </row>
    <row r="113">
      <c r="A113" s="22" t="n"/>
      <c r="B113" s="23" t="n"/>
      <c r="C113" s="24" t="n"/>
      <c r="D113" s="24" t="n"/>
      <c r="E113" s="24" t="n"/>
      <c r="F113" s="22" t="n"/>
      <c r="G113" s="24" t="n"/>
      <c r="H113" s="26" t="n"/>
      <c r="I113" s="26" t="n"/>
      <c r="J113" s="26" t="n"/>
      <c r="K113" s="26" t="n"/>
      <c r="L113" s="26" t="n"/>
      <c r="M113" s="24" t="n"/>
      <c r="N113" s="24" t="n"/>
    </row>
    <row r="114">
      <c r="A114" s="22" t="n"/>
      <c r="B114" s="23" t="n"/>
      <c r="C114" s="24" t="n"/>
      <c r="D114" s="24" t="n"/>
      <c r="E114" s="24" t="n"/>
      <c r="F114" s="22" t="n"/>
      <c r="G114" s="24" t="n"/>
      <c r="H114" s="26" t="n"/>
      <c r="I114" s="26" t="n"/>
      <c r="J114" s="26" t="n"/>
      <c r="K114" s="26" t="n"/>
      <c r="L114" s="26" t="n"/>
      <c r="M114" s="24" t="n"/>
      <c r="N114" s="24" t="n"/>
    </row>
    <row r="115">
      <c r="A115" s="22" t="n"/>
      <c r="B115" s="23" t="n"/>
      <c r="C115" s="24" t="n"/>
      <c r="D115" s="24" t="n"/>
      <c r="E115" s="24" t="n"/>
      <c r="F115" s="22" t="n"/>
      <c r="G115" s="24" t="n"/>
      <c r="H115" s="26" t="n"/>
      <c r="I115" s="26" t="n"/>
      <c r="J115" s="26" t="n"/>
      <c r="K115" s="26" t="n"/>
      <c r="L115" s="26" t="n"/>
      <c r="M115" s="24" t="n"/>
      <c r="N115" s="24" t="n"/>
    </row>
    <row r="116">
      <c r="A116" s="22" t="n"/>
      <c r="B116" s="23" t="n"/>
      <c r="C116" s="24" t="n"/>
      <c r="D116" s="24" t="n"/>
      <c r="E116" s="24" t="n"/>
      <c r="F116" s="22" t="n"/>
      <c r="G116" s="24" t="n"/>
      <c r="H116" s="26" t="n"/>
      <c r="I116" s="26" t="n"/>
      <c r="J116" s="26" t="n"/>
      <c r="K116" s="26" t="n"/>
      <c r="L116" s="26" t="n"/>
      <c r="M116" s="24" t="n"/>
      <c r="N116" s="24" t="n"/>
    </row>
    <row r="117">
      <c r="A117" s="22" t="n"/>
      <c r="B117" s="23" t="n"/>
      <c r="C117" s="24" t="n"/>
      <c r="D117" s="24" t="n"/>
      <c r="E117" s="24" t="n"/>
      <c r="F117" s="22" t="n"/>
      <c r="G117" s="24" t="n"/>
      <c r="H117" s="26" t="n"/>
      <c r="I117" s="26" t="n"/>
      <c r="J117" s="26" t="n"/>
      <c r="K117" s="26" t="n"/>
      <c r="L117" s="26" t="n"/>
      <c r="M117" s="24" t="n"/>
      <c r="N117" s="24" t="n"/>
    </row>
    <row r="118">
      <c r="A118" s="22" t="n"/>
      <c r="B118" s="23" t="n"/>
      <c r="C118" s="24" t="n"/>
      <c r="D118" s="24" t="n"/>
      <c r="E118" s="24" t="n"/>
      <c r="F118" s="22" t="n"/>
      <c r="G118" s="24" t="n"/>
      <c r="H118" s="26" t="n"/>
      <c r="I118" s="26" t="n"/>
      <c r="J118" s="26" t="n"/>
      <c r="K118" s="26" t="n"/>
      <c r="L118" s="26" t="n"/>
      <c r="M118" s="24" t="n"/>
      <c r="N118" s="24" t="n"/>
    </row>
    <row r="119">
      <c r="A119" s="22" t="n"/>
      <c r="B119" s="23" t="n"/>
      <c r="C119" s="24" t="n"/>
      <c r="D119" s="24" t="n"/>
      <c r="E119" s="24" t="n"/>
      <c r="F119" s="22" t="n"/>
      <c r="G119" s="24" t="n"/>
      <c r="H119" s="26" t="n"/>
      <c r="I119" s="26" t="n"/>
      <c r="J119" s="26" t="n"/>
      <c r="K119" s="26" t="n"/>
      <c r="L119" s="26" t="n"/>
      <c r="M119" s="24" t="n"/>
      <c r="N119" s="24" t="n"/>
    </row>
    <row r="120">
      <c r="A120" s="22" t="n"/>
      <c r="B120" s="23" t="n"/>
      <c r="C120" s="24" t="n"/>
      <c r="D120" s="24" t="n"/>
      <c r="E120" s="24" t="n"/>
      <c r="F120" s="22" t="n"/>
      <c r="G120" s="24" t="n"/>
      <c r="H120" s="26" t="n"/>
      <c r="I120" s="26" t="n"/>
      <c r="J120" s="26" t="n"/>
      <c r="K120" s="26" t="n"/>
      <c r="L120" s="26" t="n"/>
      <c r="M120" s="24" t="n"/>
      <c r="N120" s="24" t="n"/>
    </row>
    <row r="121">
      <c r="A121" s="22" t="n"/>
      <c r="B121" s="23" t="n"/>
      <c r="C121" s="24" t="n"/>
      <c r="D121" s="24" t="n"/>
      <c r="E121" s="24" t="n"/>
      <c r="F121" s="22" t="n"/>
      <c r="G121" s="24" t="n"/>
      <c r="H121" s="26" t="n"/>
      <c r="I121" s="26" t="n"/>
      <c r="J121" s="26" t="n"/>
      <c r="K121" s="26" t="n"/>
      <c r="L121" s="26" t="n"/>
      <c r="M121" s="24" t="n"/>
      <c r="N121" s="24" t="n"/>
    </row>
    <row r="122">
      <c r="A122" s="22" t="n"/>
      <c r="B122" s="23" t="n"/>
      <c r="C122" s="24" t="n"/>
      <c r="D122" s="24" t="n"/>
      <c r="E122" s="24" t="n"/>
      <c r="F122" s="22" t="n"/>
      <c r="G122" s="24" t="n"/>
      <c r="H122" s="26" t="n"/>
      <c r="I122" s="26" t="n"/>
      <c r="J122" s="26" t="n"/>
      <c r="K122" s="26" t="n"/>
      <c r="L122" s="26" t="n"/>
      <c r="M122" s="24" t="n"/>
      <c r="N122" s="24" t="n"/>
    </row>
    <row r="123">
      <c r="A123" s="22" t="n"/>
      <c r="B123" s="23" t="n"/>
      <c r="C123" s="24" t="n"/>
      <c r="D123" s="24" t="n"/>
      <c r="E123" s="24" t="n"/>
      <c r="F123" s="22" t="n"/>
      <c r="G123" s="24" t="n"/>
      <c r="H123" s="26" t="n"/>
      <c r="I123" s="26" t="n"/>
      <c r="J123" s="26" t="n"/>
      <c r="K123" s="26" t="n"/>
      <c r="L123" s="26" t="n"/>
      <c r="M123" s="24" t="n"/>
      <c r="N123" s="24" t="n"/>
    </row>
    <row r="124">
      <c r="A124" s="22" t="n"/>
      <c r="B124" s="23" t="n"/>
      <c r="C124" s="24" t="n"/>
      <c r="D124" s="24" t="n"/>
      <c r="E124" s="24" t="n"/>
      <c r="F124" s="22" t="n"/>
      <c r="G124" s="24" t="n"/>
      <c r="H124" s="26" t="n"/>
      <c r="I124" s="26" t="n"/>
      <c r="J124" s="26" t="n"/>
      <c r="K124" s="26" t="n"/>
      <c r="L124" s="26" t="n"/>
      <c r="M124" s="24" t="n"/>
      <c r="N124" s="24" t="n"/>
    </row>
    <row r="125">
      <c r="A125" s="22" t="n"/>
      <c r="B125" s="23" t="n"/>
      <c r="C125" s="24" t="n"/>
      <c r="D125" s="24" t="n"/>
      <c r="E125" s="24" t="n"/>
      <c r="F125" s="22" t="n"/>
      <c r="G125" s="24" t="n"/>
      <c r="H125" s="26" t="n"/>
      <c r="I125" s="26" t="n"/>
      <c r="J125" s="26" t="n"/>
      <c r="K125" s="26" t="n"/>
      <c r="L125" s="26" t="n"/>
      <c r="M125" s="24" t="n"/>
      <c r="N125" s="24" t="n"/>
    </row>
    <row r="126">
      <c r="A126" s="22" t="n"/>
      <c r="B126" s="23" t="n"/>
      <c r="C126" s="24" t="n"/>
      <c r="D126" s="24" t="n"/>
      <c r="E126" s="24" t="n"/>
      <c r="F126" s="22" t="n"/>
      <c r="G126" s="24" t="n"/>
      <c r="H126" s="26" t="n"/>
      <c r="I126" s="26" t="n"/>
      <c r="J126" s="26" t="n"/>
      <c r="K126" s="26" t="n"/>
      <c r="L126" s="26" t="n"/>
      <c r="M126" s="24" t="n"/>
      <c r="N126" s="24" t="n"/>
    </row>
    <row r="127">
      <c r="A127" s="22" t="n"/>
      <c r="B127" s="23" t="n"/>
      <c r="C127" s="24" t="n"/>
      <c r="D127" s="24" t="n"/>
      <c r="E127" s="24" t="n"/>
      <c r="F127" s="22" t="n"/>
      <c r="G127" s="24" t="n"/>
      <c r="H127" s="26" t="n"/>
      <c r="I127" s="26" t="n"/>
      <c r="J127" s="26" t="n"/>
      <c r="K127" s="26" t="n"/>
      <c r="L127" s="26" t="n"/>
      <c r="M127" s="24" t="n"/>
      <c r="N127" s="24" t="n"/>
    </row>
    <row r="128">
      <c r="A128" s="22" t="n"/>
      <c r="B128" s="23" t="n"/>
      <c r="C128" s="24" t="n"/>
      <c r="D128" s="24" t="n"/>
      <c r="E128" s="24" t="n"/>
      <c r="F128" s="22" t="n"/>
      <c r="G128" s="24" t="n"/>
      <c r="H128" s="26" t="n"/>
      <c r="I128" s="26" t="n"/>
      <c r="J128" s="26" t="n"/>
      <c r="K128" s="26" t="n"/>
      <c r="L128" s="26" t="n"/>
      <c r="M128" s="24" t="n"/>
      <c r="N128" s="24" t="n"/>
    </row>
    <row r="129">
      <c r="A129" s="22" t="n"/>
      <c r="B129" s="23" t="n"/>
      <c r="C129" s="24" t="n"/>
      <c r="D129" s="24" t="n"/>
      <c r="E129" s="24" t="n"/>
      <c r="F129" s="22" t="n"/>
      <c r="G129" s="24" t="n"/>
      <c r="H129" s="26" t="n"/>
      <c r="I129" s="26" t="n"/>
      <c r="J129" s="26" t="n"/>
      <c r="K129" s="26" t="n"/>
      <c r="L129" s="26" t="n"/>
      <c r="M129" s="24" t="n"/>
      <c r="N129" s="24" t="n"/>
    </row>
    <row r="130">
      <c r="A130" s="22" t="n"/>
      <c r="B130" s="23" t="n"/>
      <c r="C130" s="24" t="n"/>
      <c r="D130" s="24" t="n"/>
      <c r="E130" s="24" t="n"/>
      <c r="F130" s="22" t="n"/>
      <c r="G130" s="24" t="n"/>
      <c r="H130" s="26" t="n"/>
      <c r="I130" s="26" t="n"/>
      <c r="J130" s="26" t="n"/>
      <c r="K130" s="26" t="n"/>
      <c r="L130" s="26" t="n"/>
      <c r="M130" s="24" t="n"/>
      <c r="N130" s="24" t="n"/>
    </row>
    <row r="131">
      <c r="A131" s="22" t="n"/>
      <c r="B131" s="23" t="n"/>
      <c r="C131" s="24" t="n"/>
      <c r="D131" s="24" t="n"/>
      <c r="E131" s="24" t="n"/>
      <c r="F131" s="22" t="n"/>
      <c r="G131" s="24" t="n"/>
      <c r="H131" s="26" t="n"/>
      <c r="I131" s="26" t="n"/>
      <c r="J131" s="26" t="n"/>
      <c r="K131" s="26" t="n"/>
      <c r="L131" s="26" t="n"/>
      <c r="M131" s="24" t="n"/>
      <c r="N131" s="24" t="n"/>
    </row>
    <row r="132">
      <c r="A132" s="22" t="n"/>
      <c r="B132" s="23" t="n"/>
      <c r="C132" s="24" t="n"/>
      <c r="D132" s="24" t="n"/>
      <c r="E132" s="24" t="n"/>
      <c r="F132" s="22" t="n"/>
      <c r="G132" s="24" t="n"/>
      <c r="H132" s="26" t="n"/>
      <c r="I132" s="26" t="n"/>
      <c r="J132" s="26" t="n"/>
      <c r="K132" s="26" t="n"/>
      <c r="L132" s="26" t="n"/>
      <c r="M132" s="24" t="n"/>
      <c r="N132" s="24" t="n"/>
    </row>
    <row r="133">
      <c r="A133" s="22" t="n"/>
      <c r="B133" s="23" t="n"/>
      <c r="C133" s="24" t="n"/>
      <c r="D133" s="24" t="n"/>
      <c r="E133" s="24" t="n"/>
      <c r="F133" s="22" t="n"/>
      <c r="G133" s="24" t="n"/>
      <c r="H133" s="26" t="n"/>
      <c r="I133" s="26" t="n"/>
      <c r="J133" s="26" t="n"/>
      <c r="K133" s="26" t="n"/>
      <c r="L133" s="26" t="n"/>
      <c r="M133" s="24" t="n"/>
      <c r="N133" s="24" t="n"/>
    </row>
    <row r="134">
      <c r="A134" s="22" t="n"/>
      <c r="B134" s="23" t="n"/>
      <c r="C134" s="24" t="n"/>
      <c r="D134" s="24" t="n"/>
      <c r="E134" s="24" t="n"/>
      <c r="F134" s="22" t="n"/>
      <c r="G134" s="24" t="n"/>
      <c r="H134" s="26" t="n"/>
      <c r="I134" s="26" t="n"/>
      <c r="J134" s="26" t="n"/>
      <c r="K134" s="26" t="n"/>
      <c r="L134" s="26" t="n"/>
      <c r="M134" s="24" t="n"/>
      <c r="N134" s="24" t="n"/>
    </row>
    <row r="135">
      <c r="A135" s="22" t="n"/>
      <c r="B135" s="23" t="n"/>
      <c r="C135" s="24" t="n"/>
      <c r="D135" s="24" t="n"/>
      <c r="E135" s="24" t="n"/>
      <c r="F135" s="22" t="n"/>
      <c r="G135" s="24" t="n"/>
      <c r="H135" s="26" t="n"/>
      <c r="I135" s="26" t="n"/>
      <c r="J135" s="26" t="n"/>
      <c r="K135" s="26" t="n"/>
      <c r="L135" s="26" t="n"/>
      <c r="M135" s="24" t="n"/>
      <c r="N135" s="24" t="n"/>
    </row>
    <row r="136">
      <c r="A136" s="22" t="n"/>
      <c r="B136" s="23" t="n"/>
      <c r="C136" s="24" t="n"/>
      <c r="D136" s="24" t="n"/>
      <c r="E136" s="24" t="n"/>
      <c r="F136" s="22" t="n"/>
      <c r="G136" s="24" t="n"/>
      <c r="H136" s="26" t="n"/>
      <c r="I136" s="26" t="n"/>
      <c r="J136" s="26" t="n"/>
      <c r="K136" s="26" t="n"/>
      <c r="L136" s="26" t="n"/>
      <c r="M136" s="24" t="n"/>
      <c r="N136" s="24" t="n"/>
    </row>
    <row r="137">
      <c r="A137" s="22" t="n"/>
      <c r="B137" s="23" t="n"/>
      <c r="C137" s="24" t="n"/>
      <c r="D137" s="24" t="n"/>
      <c r="E137" s="24" t="n"/>
      <c r="F137" s="22" t="n"/>
      <c r="G137" s="24" t="n"/>
      <c r="H137" s="26" t="n"/>
      <c r="I137" s="26" t="n"/>
      <c r="J137" s="26" t="n"/>
      <c r="K137" s="26" t="n"/>
      <c r="L137" s="26" t="n"/>
      <c r="M137" s="24" t="n"/>
      <c r="N137" s="24" t="n"/>
    </row>
    <row r="138">
      <c r="A138" s="22" t="n"/>
      <c r="B138" s="23" t="n"/>
      <c r="C138" s="24" t="n"/>
      <c r="D138" s="24" t="n"/>
      <c r="E138" s="24" t="n"/>
      <c r="F138" s="22" t="n"/>
      <c r="G138" s="24" t="n"/>
      <c r="H138" s="26" t="n"/>
      <c r="I138" s="26" t="n"/>
      <c r="J138" s="26" t="n"/>
      <c r="K138" s="26" t="n"/>
      <c r="L138" s="26" t="n"/>
      <c r="M138" s="24" t="n"/>
      <c r="N138" s="24" t="n"/>
    </row>
    <row r="139">
      <c r="A139" s="22" t="n"/>
      <c r="B139" s="23" t="n"/>
      <c r="C139" s="24" t="n"/>
      <c r="D139" s="24" t="n"/>
      <c r="E139" s="24" t="n"/>
      <c r="F139" s="22" t="n"/>
      <c r="G139" s="24" t="n"/>
      <c r="H139" s="26" t="n"/>
      <c r="I139" s="26" t="n"/>
      <c r="J139" s="26" t="n"/>
      <c r="K139" s="26" t="n"/>
      <c r="L139" s="26" t="n"/>
      <c r="M139" s="24" t="n"/>
      <c r="N139" s="24" t="n"/>
    </row>
    <row r="140">
      <c r="A140" s="22" t="n"/>
      <c r="B140" s="23" t="n"/>
      <c r="C140" s="24" t="n"/>
      <c r="D140" s="24" t="n"/>
      <c r="E140" s="24" t="n"/>
      <c r="F140" s="22" t="n"/>
      <c r="G140" s="24" t="n"/>
      <c r="H140" s="26" t="n"/>
      <c r="I140" s="26" t="n"/>
      <c r="J140" s="26" t="n"/>
      <c r="K140" s="26" t="n"/>
      <c r="L140" s="26" t="n"/>
      <c r="M140" s="24" t="n"/>
      <c r="N140" s="24" t="n"/>
    </row>
    <row r="141">
      <c r="A141" s="22" t="n"/>
      <c r="B141" s="23" t="n"/>
      <c r="C141" s="24" t="n"/>
      <c r="D141" s="24" t="n"/>
      <c r="E141" s="24" t="n"/>
      <c r="F141" s="22" t="n"/>
      <c r="G141" s="24" t="n"/>
      <c r="H141" s="26" t="n"/>
      <c r="I141" s="26" t="n"/>
      <c r="J141" s="26" t="n"/>
      <c r="K141" s="26" t="n"/>
      <c r="L141" s="26" t="n"/>
      <c r="M141" s="24" t="n"/>
      <c r="N141" s="24" t="n"/>
    </row>
    <row r="142">
      <c r="A142" s="22" t="n"/>
      <c r="B142" s="23" t="n"/>
      <c r="C142" s="24" t="n"/>
      <c r="D142" s="24" t="n"/>
      <c r="E142" s="24" t="n"/>
      <c r="F142" s="22" t="n"/>
      <c r="G142" s="24" t="n"/>
      <c r="H142" s="26" t="n"/>
      <c r="I142" s="26" t="n"/>
      <c r="J142" s="26" t="n"/>
      <c r="K142" s="26" t="n"/>
      <c r="L142" s="26" t="n"/>
      <c r="M142" s="24" t="n"/>
      <c r="N142" s="24" t="n"/>
    </row>
    <row r="143">
      <c r="A143" s="22" t="n"/>
      <c r="B143" s="23" t="n"/>
      <c r="C143" s="24" t="n"/>
      <c r="D143" s="24" t="n"/>
      <c r="E143" s="24" t="n"/>
      <c r="F143" s="22" t="n"/>
      <c r="G143" s="24" t="n"/>
      <c r="H143" s="26" t="n"/>
      <c r="I143" s="26" t="n"/>
      <c r="J143" s="26" t="n"/>
      <c r="K143" s="26" t="n"/>
      <c r="L143" s="26" t="n"/>
      <c r="M143" s="24" t="n"/>
      <c r="N143" s="24" t="n"/>
    </row>
    <row r="144">
      <c r="A144" s="22" t="n"/>
      <c r="B144" s="23" t="n"/>
      <c r="C144" s="24" t="n"/>
      <c r="D144" s="24" t="n"/>
      <c r="E144" s="24" t="n"/>
      <c r="F144" s="22" t="n"/>
      <c r="G144" s="24" t="n"/>
      <c r="H144" s="26" t="n"/>
      <c r="I144" s="26" t="n"/>
      <c r="J144" s="26" t="n"/>
      <c r="K144" s="26" t="n"/>
      <c r="L144" s="26" t="n"/>
      <c r="M144" s="24" t="n"/>
      <c r="N144" s="24" t="n"/>
    </row>
    <row r="145">
      <c r="A145" s="22" t="n"/>
      <c r="B145" s="23" t="n"/>
      <c r="C145" s="24" t="n"/>
      <c r="D145" s="24" t="n"/>
      <c r="E145" s="24" t="n"/>
      <c r="F145" s="22" t="n"/>
      <c r="G145" s="24" t="n"/>
      <c r="H145" s="26" t="n"/>
      <c r="I145" s="26" t="n"/>
      <c r="J145" s="26" t="n"/>
      <c r="K145" s="26" t="n"/>
      <c r="L145" s="26" t="n"/>
      <c r="M145" s="24" t="n"/>
      <c r="N145" s="24" t="n"/>
    </row>
    <row r="146">
      <c r="A146" s="22" t="n"/>
      <c r="B146" s="23" t="n"/>
      <c r="C146" s="24" t="n"/>
      <c r="D146" s="24" t="n"/>
      <c r="E146" s="24" t="n"/>
      <c r="F146" s="22" t="n"/>
      <c r="G146" s="24" t="n"/>
      <c r="H146" s="26" t="n"/>
      <c r="I146" s="26" t="n"/>
      <c r="J146" s="26" t="n"/>
      <c r="K146" s="26" t="n"/>
      <c r="L146" s="26" t="n"/>
      <c r="M146" s="24" t="n"/>
      <c r="N146" s="24" t="n"/>
    </row>
    <row r="147">
      <c r="A147" s="22" t="n"/>
      <c r="B147" s="23" t="n"/>
      <c r="C147" s="24" t="n"/>
      <c r="D147" s="24" t="n"/>
      <c r="E147" s="24" t="n"/>
      <c r="F147" s="22" t="n"/>
      <c r="G147" s="24" t="n"/>
      <c r="H147" s="26" t="n"/>
      <c r="I147" s="26" t="n"/>
      <c r="J147" s="26" t="n"/>
      <c r="K147" s="26" t="n"/>
      <c r="L147" s="26" t="n"/>
      <c r="M147" s="24" t="n"/>
      <c r="N147" s="24" t="n"/>
    </row>
    <row r="148">
      <c r="A148" s="22" t="n"/>
      <c r="B148" s="23" t="n"/>
      <c r="C148" s="24" t="n"/>
      <c r="D148" s="24" t="n"/>
      <c r="E148" s="24" t="n"/>
      <c r="F148" s="22" t="n"/>
      <c r="G148" s="24" t="n"/>
      <c r="H148" s="26" t="n"/>
      <c r="I148" s="26" t="n"/>
      <c r="J148" s="26" t="n"/>
      <c r="K148" s="26" t="n"/>
      <c r="L148" s="26" t="n"/>
      <c r="M148" s="24" t="n"/>
      <c r="N148" s="24" t="n"/>
    </row>
    <row r="149">
      <c r="A149" s="22" t="n"/>
      <c r="B149" s="23" t="n"/>
      <c r="C149" s="24" t="n"/>
      <c r="D149" s="24" t="n"/>
      <c r="E149" s="24" t="n"/>
      <c r="F149" s="22" t="n"/>
      <c r="G149" s="24" t="n"/>
      <c r="H149" s="26" t="n"/>
      <c r="I149" s="26" t="n"/>
      <c r="J149" s="26" t="n"/>
      <c r="K149" s="26" t="n"/>
      <c r="L149" s="26" t="n"/>
      <c r="M149" s="24" t="n"/>
      <c r="N149" s="24" t="n"/>
    </row>
    <row r="150">
      <c r="A150" s="22" t="n"/>
      <c r="B150" s="23" t="n"/>
      <c r="C150" s="24" t="n"/>
      <c r="D150" s="24" t="n"/>
      <c r="E150" s="24" t="n"/>
      <c r="F150" s="22" t="n"/>
      <c r="G150" s="24" t="n"/>
      <c r="H150" s="26" t="n"/>
      <c r="I150" s="26" t="n"/>
      <c r="J150" s="26" t="n"/>
      <c r="K150" s="26" t="n"/>
      <c r="L150" s="26" t="n"/>
      <c r="M150" s="24" t="n"/>
      <c r="N150" s="24" t="n"/>
    </row>
    <row r="151">
      <c r="A151" s="22" t="n"/>
      <c r="B151" s="23" t="n"/>
      <c r="C151" s="24" t="n"/>
      <c r="D151" s="24" t="n"/>
      <c r="E151" s="24" t="n"/>
      <c r="F151" s="22" t="n"/>
      <c r="G151" s="24" t="n"/>
      <c r="H151" s="26" t="n"/>
      <c r="I151" s="26" t="n"/>
      <c r="J151" s="26" t="n"/>
      <c r="K151" s="26" t="n"/>
      <c r="L151" s="26" t="n"/>
      <c r="M151" s="24" t="n"/>
      <c r="N151" s="24" t="n"/>
    </row>
    <row r="152">
      <c r="A152" s="22" t="n"/>
      <c r="B152" s="23" t="n"/>
      <c r="C152" s="24" t="n"/>
      <c r="D152" s="24" t="n"/>
      <c r="E152" s="24" t="n"/>
      <c r="F152" s="22" t="n"/>
      <c r="G152" s="24" t="n"/>
      <c r="H152" s="26" t="n"/>
      <c r="I152" s="26" t="n"/>
      <c r="J152" s="26" t="n"/>
      <c r="K152" s="26" t="n"/>
      <c r="L152" s="26" t="n"/>
      <c r="M152" s="24" t="n"/>
      <c r="N152" s="24" t="n"/>
    </row>
    <row r="153">
      <c r="A153" s="22" t="n"/>
      <c r="B153" s="23" t="n"/>
      <c r="C153" s="24" t="n"/>
      <c r="D153" s="24" t="n"/>
      <c r="E153" s="24" t="n"/>
      <c r="F153" s="22" t="n"/>
      <c r="G153" s="24" t="n"/>
      <c r="H153" s="26" t="n"/>
      <c r="I153" s="26" t="n"/>
      <c r="J153" s="26" t="n"/>
      <c r="K153" s="26" t="n"/>
      <c r="L153" s="26" t="n"/>
      <c r="M153" s="24" t="n"/>
      <c r="N153" s="24" t="n"/>
    </row>
    <row r="154">
      <c r="A154" s="22" t="n"/>
      <c r="B154" s="23" t="n"/>
      <c r="C154" s="24" t="n"/>
      <c r="D154" s="24" t="n"/>
      <c r="E154" s="24" t="n"/>
      <c r="F154" s="22" t="n"/>
      <c r="G154" s="24" t="n"/>
      <c r="H154" s="26" t="n"/>
      <c r="I154" s="26" t="n"/>
      <c r="J154" s="26" t="n"/>
      <c r="K154" s="26" t="n"/>
      <c r="L154" s="26" t="n"/>
      <c r="M154" s="24" t="n"/>
      <c r="N154" s="24" t="n"/>
    </row>
    <row r="155">
      <c r="A155" s="22" t="n"/>
      <c r="B155" s="23" t="n"/>
      <c r="C155" s="24" t="n"/>
      <c r="D155" s="24" t="n"/>
      <c r="E155" s="24" t="n"/>
      <c r="F155" s="22" t="n"/>
      <c r="G155" s="24" t="n"/>
      <c r="H155" s="26" t="n"/>
      <c r="I155" s="26" t="n"/>
      <c r="J155" s="26" t="n"/>
      <c r="K155" s="26" t="n"/>
      <c r="L155" s="26" t="n"/>
      <c r="M155" s="24" t="n"/>
      <c r="N155" s="24" t="n"/>
    </row>
    <row r="156">
      <c r="A156" s="22" t="n"/>
      <c r="B156" s="23" t="n"/>
      <c r="C156" s="24" t="n"/>
      <c r="D156" s="24" t="n"/>
      <c r="E156" s="24" t="n"/>
      <c r="F156" s="22" t="n"/>
      <c r="G156" s="24" t="n"/>
      <c r="H156" s="26" t="n"/>
      <c r="I156" s="26" t="n"/>
      <c r="J156" s="26" t="n"/>
      <c r="K156" s="26" t="n"/>
      <c r="L156" s="26" t="n"/>
      <c r="M156" s="24" t="n"/>
      <c r="N156" s="24" t="n"/>
    </row>
    <row r="157">
      <c r="A157" s="22" t="n"/>
      <c r="B157" s="23" t="n"/>
      <c r="C157" s="24" t="n"/>
      <c r="D157" s="24" t="n"/>
      <c r="E157" s="24" t="n"/>
      <c r="F157" s="22" t="n"/>
      <c r="G157" s="24" t="n"/>
      <c r="H157" s="26" t="n"/>
      <c r="I157" s="26" t="n"/>
      <c r="J157" s="26" t="n"/>
      <c r="K157" s="26" t="n"/>
      <c r="L157" s="26" t="n"/>
      <c r="M157" s="24" t="n"/>
      <c r="N157" s="24" t="n"/>
    </row>
    <row r="158">
      <c r="A158" s="22" t="n"/>
      <c r="B158" s="23" t="n"/>
      <c r="C158" s="24" t="n"/>
      <c r="D158" s="24" t="n"/>
      <c r="E158" s="24" t="n"/>
      <c r="F158" s="22" t="n"/>
      <c r="G158" s="24" t="n"/>
      <c r="H158" s="26" t="n"/>
      <c r="I158" s="26" t="n"/>
      <c r="J158" s="26" t="n"/>
      <c r="K158" s="26" t="n"/>
      <c r="L158" s="26" t="n"/>
      <c r="M158" s="24" t="n"/>
      <c r="N158" s="24" t="n"/>
    </row>
    <row r="159">
      <c r="A159" s="22" t="n"/>
      <c r="B159" s="23" t="n"/>
      <c r="C159" s="24" t="n"/>
      <c r="D159" s="24" t="n"/>
      <c r="E159" s="24" t="n"/>
      <c r="F159" s="22" t="n"/>
      <c r="G159" s="24" t="n"/>
      <c r="H159" s="26" t="n"/>
      <c r="I159" s="26" t="n"/>
      <c r="J159" s="26" t="n"/>
      <c r="K159" s="26" t="n"/>
      <c r="L159" s="26" t="n"/>
      <c r="M159" s="24" t="n"/>
      <c r="N159" s="24" t="n"/>
    </row>
    <row r="160">
      <c r="A160" s="22" t="n"/>
      <c r="B160" s="23" t="n"/>
      <c r="C160" s="24" t="n"/>
      <c r="D160" s="24" t="n"/>
      <c r="E160" s="24" t="n"/>
      <c r="F160" s="22" t="n"/>
      <c r="G160" s="24" t="n"/>
      <c r="H160" s="26" t="n"/>
      <c r="I160" s="26" t="n"/>
      <c r="J160" s="26" t="n"/>
      <c r="K160" s="26" t="n"/>
      <c r="L160" s="26" t="n"/>
      <c r="M160" s="24" t="n"/>
      <c r="N160" s="24" t="n"/>
    </row>
    <row r="161">
      <c r="A161" s="22" t="n"/>
      <c r="B161" s="23" t="n"/>
      <c r="C161" s="24" t="n"/>
      <c r="D161" s="24" t="n"/>
      <c r="E161" s="24" t="n"/>
      <c r="F161" s="22" t="n"/>
      <c r="G161" s="24" t="n"/>
      <c r="H161" s="26" t="n"/>
      <c r="I161" s="26" t="n"/>
      <c r="J161" s="26" t="n"/>
      <c r="K161" s="26" t="n"/>
      <c r="L161" s="26" t="n"/>
      <c r="M161" s="24" t="n"/>
      <c r="N161" s="24" t="n"/>
    </row>
    <row r="162">
      <c r="A162" s="22" t="n"/>
      <c r="B162" s="23" t="n"/>
      <c r="C162" s="24" t="n"/>
      <c r="D162" s="24" t="n"/>
      <c r="E162" s="24" t="n"/>
      <c r="F162" s="22" t="n"/>
      <c r="G162" s="24" t="n"/>
      <c r="H162" s="26" t="n"/>
      <c r="I162" s="26" t="n"/>
      <c r="J162" s="26" t="n"/>
      <c r="K162" s="26" t="n"/>
      <c r="L162" s="26" t="n"/>
      <c r="M162" s="24" t="n"/>
      <c r="N162" s="24" t="n"/>
    </row>
    <row r="163">
      <c r="A163" s="22" t="n"/>
      <c r="B163" s="23" t="n"/>
      <c r="C163" s="24" t="n"/>
      <c r="D163" s="24" t="n"/>
      <c r="E163" s="24" t="n"/>
      <c r="F163" s="22" t="n"/>
      <c r="G163" s="24" t="n"/>
      <c r="H163" s="26" t="n"/>
      <c r="I163" s="26" t="n"/>
      <c r="J163" s="26" t="n"/>
      <c r="K163" s="26" t="n"/>
      <c r="L163" s="26" t="n"/>
      <c r="M163" s="24" t="n"/>
      <c r="N163" s="24" t="n"/>
    </row>
    <row r="164">
      <c r="A164" s="22" t="n"/>
      <c r="B164" s="23" t="n"/>
      <c r="C164" s="24" t="n"/>
      <c r="D164" s="24" t="n"/>
      <c r="E164" s="24" t="n"/>
      <c r="F164" s="22" t="n"/>
      <c r="G164" s="24" t="n"/>
      <c r="H164" s="26" t="n"/>
      <c r="I164" s="26" t="n"/>
      <c r="J164" s="26" t="n"/>
      <c r="K164" s="26" t="n"/>
      <c r="L164" s="26" t="n"/>
      <c r="M164" s="24" t="n"/>
      <c r="N164" s="24" t="n"/>
    </row>
    <row r="165">
      <c r="A165" s="22" t="n"/>
      <c r="B165" s="23" t="n"/>
      <c r="C165" s="24" t="n"/>
      <c r="D165" s="24" t="n"/>
      <c r="E165" s="24" t="n"/>
      <c r="F165" s="22" t="n"/>
      <c r="G165" s="24" t="n"/>
      <c r="H165" s="26" t="n"/>
      <c r="I165" s="26" t="n"/>
      <c r="J165" s="26" t="n"/>
      <c r="K165" s="26" t="n"/>
      <c r="L165" s="26" t="n"/>
      <c r="M165" s="24" t="n"/>
      <c r="N165" s="24" t="n"/>
    </row>
    <row r="166">
      <c r="A166" s="22" t="n"/>
      <c r="B166" s="23" t="n"/>
      <c r="C166" s="24" t="n"/>
      <c r="D166" s="24" t="n"/>
      <c r="E166" s="24" t="n"/>
      <c r="F166" s="22" t="n"/>
      <c r="G166" s="24" t="n"/>
      <c r="H166" s="26" t="n"/>
      <c r="I166" s="26" t="n"/>
      <c r="J166" s="26" t="n"/>
      <c r="K166" s="26" t="n"/>
      <c r="L166" s="26" t="n"/>
      <c r="M166" s="24" t="n"/>
      <c r="N166" s="24" t="n"/>
    </row>
    <row r="167">
      <c r="A167" s="22" t="n"/>
      <c r="B167" s="23" t="n"/>
      <c r="C167" s="24" t="n"/>
      <c r="D167" s="24" t="n"/>
      <c r="E167" s="24" t="n"/>
      <c r="F167" s="22" t="n"/>
      <c r="G167" s="24" t="n"/>
      <c r="H167" s="26" t="n"/>
      <c r="I167" s="26" t="n"/>
      <c r="J167" s="26" t="n"/>
      <c r="K167" s="26" t="n"/>
      <c r="L167" s="26" t="n"/>
      <c r="M167" s="24" t="n"/>
      <c r="N167" s="24" t="n"/>
    </row>
    <row r="168">
      <c r="A168" s="22" t="n"/>
      <c r="B168" s="23" t="n"/>
      <c r="C168" s="24" t="n"/>
      <c r="D168" s="24" t="n"/>
      <c r="E168" s="24" t="n"/>
      <c r="F168" s="22" t="n"/>
      <c r="G168" s="24" t="n"/>
      <c r="H168" s="26" t="n"/>
      <c r="I168" s="26" t="n"/>
      <c r="J168" s="26" t="n"/>
      <c r="K168" s="26" t="n"/>
      <c r="L168" s="26" t="n"/>
      <c r="M168" s="24" t="n"/>
      <c r="N168" s="24" t="n"/>
    </row>
    <row r="169">
      <c r="A169" s="22" t="n"/>
      <c r="B169" s="23" t="n"/>
      <c r="C169" s="24" t="n"/>
      <c r="D169" s="24" t="n"/>
      <c r="E169" s="24" t="n"/>
      <c r="F169" s="22" t="n"/>
      <c r="G169" s="24" t="n"/>
      <c r="H169" s="26" t="n"/>
      <c r="I169" s="26" t="n"/>
      <c r="J169" s="26" t="n"/>
      <c r="K169" s="26" t="n"/>
      <c r="L169" s="26" t="n"/>
      <c r="M169" s="24" t="n"/>
      <c r="N169" s="24" t="n"/>
    </row>
    <row r="170">
      <c r="A170" s="22" t="n"/>
      <c r="B170" s="23" t="n"/>
      <c r="C170" s="24" t="n"/>
      <c r="D170" s="24" t="n"/>
      <c r="E170" s="24" t="n"/>
      <c r="F170" s="22" t="n"/>
      <c r="G170" s="24" t="n"/>
      <c r="H170" s="26" t="n"/>
      <c r="I170" s="26" t="n"/>
      <c r="J170" s="26" t="n"/>
      <c r="K170" s="26" t="n"/>
      <c r="L170" s="26" t="n"/>
      <c r="M170" s="24" t="n"/>
      <c r="N170" s="24" t="n"/>
    </row>
    <row r="171">
      <c r="A171" s="22" t="n"/>
      <c r="B171" s="23" t="n"/>
      <c r="C171" s="24" t="n"/>
      <c r="D171" s="24" t="n"/>
      <c r="E171" s="24" t="n"/>
      <c r="F171" s="22" t="n"/>
      <c r="G171" s="24" t="n"/>
      <c r="H171" s="26" t="n"/>
      <c r="I171" s="26" t="n"/>
      <c r="J171" s="26" t="n"/>
      <c r="K171" s="26" t="n"/>
      <c r="L171" s="26" t="n"/>
      <c r="M171" s="24" t="n"/>
      <c r="N171" s="24" t="n"/>
    </row>
    <row r="172">
      <c r="A172" s="22" t="n"/>
      <c r="B172" s="23" t="n"/>
      <c r="C172" s="24" t="n"/>
      <c r="D172" s="24" t="n"/>
      <c r="E172" s="24" t="n"/>
      <c r="F172" s="22" t="n"/>
      <c r="G172" s="24" t="n"/>
      <c r="H172" s="26" t="n"/>
      <c r="I172" s="26" t="n"/>
      <c r="J172" s="26" t="n"/>
      <c r="K172" s="26" t="n"/>
      <c r="L172" s="26" t="n"/>
      <c r="M172" s="24" t="n"/>
      <c r="N172" s="24" t="n"/>
    </row>
    <row r="173">
      <c r="A173" s="22" t="n"/>
      <c r="B173" s="23" t="n"/>
      <c r="C173" s="24" t="n"/>
      <c r="D173" s="24" t="n"/>
      <c r="E173" s="24" t="n"/>
      <c r="F173" s="22" t="n"/>
      <c r="G173" s="24" t="n"/>
      <c r="H173" s="26" t="n"/>
      <c r="I173" s="26" t="n"/>
      <c r="J173" s="26" t="n"/>
      <c r="K173" s="26" t="n"/>
      <c r="L173" s="26" t="n"/>
      <c r="M173" s="24" t="n"/>
      <c r="N173" s="24" t="n"/>
    </row>
    <row r="174">
      <c r="A174" s="22" t="n"/>
      <c r="B174" s="23" t="n"/>
      <c r="C174" s="24" t="n"/>
      <c r="D174" s="24" t="n"/>
      <c r="E174" s="24" t="n"/>
      <c r="F174" s="22" t="n"/>
      <c r="G174" s="24" t="n"/>
      <c r="H174" s="26" t="n"/>
      <c r="I174" s="26" t="n"/>
      <c r="J174" s="26" t="n"/>
      <c r="K174" s="26" t="n"/>
      <c r="L174" s="26" t="n"/>
      <c r="M174" s="24" t="n"/>
      <c r="N174" s="24" t="n"/>
    </row>
    <row r="175">
      <c r="A175" s="22" t="n"/>
      <c r="B175" s="23" t="n"/>
      <c r="C175" s="24" t="n"/>
      <c r="D175" s="24" t="n"/>
      <c r="E175" s="24" t="n"/>
      <c r="F175" s="22" t="n"/>
      <c r="G175" s="24" t="n"/>
      <c r="H175" s="26" t="n"/>
      <c r="I175" s="26" t="n"/>
      <c r="J175" s="26" t="n"/>
      <c r="K175" s="26" t="n"/>
      <c r="L175" s="26" t="n"/>
      <c r="M175" s="24" t="n"/>
      <c r="N175" s="24" t="n"/>
    </row>
    <row r="176">
      <c r="A176" s="22" t="n"/>
      <c r="B176" s="23" t="n"/>
      <c r="C176" s="24" t="n"/>
      <c r="D176" s="24" t="n"/>
      <c r="E176" s="24" t="n"/>
      <c r="F176" s="22" t="n"/>
      <c r="G176" s="24" t="n"/>
      <c r="H176" s="26" t="n"/>
      <c r="I176" s="26" t="n"/>
      <c r="J176" s="26" t="n"/>
      <c r="K176" s="26" t="n"/>
      <c r="L176" s="26" t="n"/>
      <c r="M176" s="24" t="n"/>
      <c r="N176" s="24" t="n"/>
    </row>
    <row r="177">
      <c r="A177" s="22" t="n"/>
      <c r="B177" s="23" t="n"/>
      <c r="C177" s="24" t="n"/>
      <c r="D177" s="24" t="n"/>
      <c r="E177" s="24" t="n"/>
      <c r="F177" s="22" t="n"/>
      <c r="G177" s="24" t="n"/>
      <c r="H177" s="26" t="n"/>
      <c r="I177" s="26" t="n"/>
      <c r="J177" s="26" t="n"/>
      <c r="K177" s="26" t="n"/>
      <c r="L177" s="26" t="n"/>
      <c r="M177" s="24" t="n"/>
      <c r="N177" s="24" t="n"/>
    </row>
    <row r="178">
      <c r="A178" s="22" t="n"/>
      <c r="B178" s="23" t="n"/>
      <c r="C178" s="24" t="n"/>
      <c r="D178" s="24" t="n"/>
      <c r="E178" s="24" t="n"/>
      <c r="F178" s="22" t="n"/>
      <c r="G178" s="24" t="n"/>
      <c r="H178" s="26" t="n"/>
      <c r="I178" s="26" t="n"/>
      <c r="J178" s="26" t="n"/>
      <c r="K178" s="26" t="n"/>
      <c r="L178" s="26" t="n"/>
      <c r="M178" s="24" t="n"/>
      <c r="N178" s="24" t="n"/>
    </row>
    <row r="179">
      <c r="A179" s="22" t="n"/>
      <c r="B179" s="23" t="n"/>
      <c r="C179" s="24" t="n"/>
      <c r="D179" s="24" t="n"/>
      <c r="E179" s="24" t="n"/>
      <c r="F179" s="22" t="n"/>
      <c r="G179" s="24" t="n"/>
      <c r="H179" s="26" t="n"/>
      <c r="I179" s="26" t="n"/>
      <c r="J179" s="26" t="n"/>
      <c r="K179" s="26" t="n"/>
      <c r="L179" s="26" t="n"/>
      <c r="M179" s="24" t="n"/>
      <c r="N179" s="24" t="n"/>
    </row>
    <row r="180">
      <c r="A180" s="22" t="n"/>
      <c r="B180" s="23" t="n"/>
      <c r="C180" s="24" t="n"/>
      <c r="D180" s="24" t="n"/>
      <c r="E180" s="24" t="n"/>
      <c r="F180" s="22" t="n"/>
      <c r="G180" s="24" t="n"/>
      <c r="H180" s="26" t="n"/>
      <c r="I180" s="26" t="n"/>
      <c r="J180" s="26" t="n"/>
      <c r="K180" s="26" t="n"/>
      <c r="L180" s="26" t="n"/>
      <c r="M180" s="24" t="n"/>
      <c r="N180" s="24" t="n"/>
    </row>
    <row r="181">
      <c r="A181" s="22" t="n"/>
      <c r="B181" s="23" t="n"/>
      <c r="C181" s="24" t="n"/>
      <c r="D181" s="24" t="n"/>
      <c r="E181" s="24" t="n"/>
      <c r="F181" s="22" t="n"/>
      <c r="G181" s="24" t="n"/>
      <c r="H181" s="26" t="n"/>
      <c r="I181" s="26" t="n"/>
      <c r="J181" s="26" t="n"/>
      <c r="K181" s="26" t="n"/>
      <c r="L181" s="26" t="n"/>
      <c r="M181" s="24" t="n"/>
      <c r="N181" s="24" t="n"/>
    </row>
    <row r="182">
      <c r="A182" s="22" t="n"/>
      <c r="B182" s="23" t="n"/>
      <c r="C182" s="24" t="n"/>
      <c r="D182" s="24" t="n"/>
      <c r="E182" s="24" t="n"/>
      <c r="F182" s="22" t="n"/>
      <c r="G182" s="24" t="n"/>
      <c r="H182" s="26" t="n"/>
      <c r="I182" s="26" t="n"/>
      <c r="J182" s="26" t="n"/>
      <c r="K182" s="26" t="n"/>
      <c r="L182" s="26" t="n"/>
      <c r="M182" s="24" t="n"/>
      <c r="N182" s="24" t="n"/>
    </row>
    <row r="183">
      <c r="A183" s="22" t="n"/>
      <c r="B183" s="23" t="n"/>
      <c r="C183" s="24" t="n"/>
      <c r="D183" s="24" t="n"/>
      <c r="E183" s="24" t="n"/>
      <c r="F183" s="22" t="n"/>
      <c r="G183" s="24" t="n"/>
      <c r="H183" s="26" t="n"/>
      <c r="I183" s="26" t="n"/>
      <c r="J183" s="26" t="n"/>
      <c r="K183" s="26" t="n"/>
      <c r="L183" s="26" t="n"/>
      <c r="M183" s="24" t="n"/>
      <c r="N183" s="24" t="n"/>
    </row>
    <row r="184">
      <c r="A184" s="22" t="n"/>
      <c r="B184" s="23" t="n"/>
      <c r="C184" s="24" t="n"/>
      <c r="D184" s="24" t="n"/>
      <c r="E184" s="24" t="n"/>
      <c r="F184" s="22" t="n"/>
      <c r="G184" s="24" t="n"/>
      <c r="H184" s="26" t="n"/>
      <c r="I184" s="26" t="n"/>
      <c r="J184" s="26" t="n"/>
      <c r="K184" s="26" t="n"/>
      <c r="L184" s="26" t="n"/>
      <c r="M184" s="24" t="n"/>
      <c r="N184" s="24" t="n"/>
    </row>
    <row r="185">
      <c r="A185" s="22" t="n"/>
      <c r="B185" s="23" t="n"/>
      <c r="C185" s="24" t="n"/>
      <c r="D185" s="24" t="n"/>
      <c r="E185" s="24" t="n"/>
      <c r="F185" s="22" t="n"/>
      <c r="G185" s="24" t="n"/>
      <c r="H185" s="26" t="n"/>
      <c r="I185" s="26" t="n"/>
      <c r="J185" s="26" t="n"/>
      <c r="K185" s="26" t="n"/>
      <c r="L185" s="26" t="n"/>
      <c r="M185" s="24" t="n"/>
      <c r="N185" s="24" t="n"/>
    </row>
    <row r="186">
      <c r="A186" s="22" t="n"/>
      <c r="B186" s="23" t="n"/>
      <c r="C186" s="24" t="n"/>
      <c r="D186" s="24" t="n"/>
      <c r="E186" s="24" t="n"/>
      <c r="F186" s="22" t="n"/>
      <c r="G186" s="24" t="n"/>
      <c r="H186" s="26" t="n"/>
      <c r="I186" s="26" t="n"/>
      <c r="J186" s="26" t="n"/>
      <c r="K186" s="26" t="n"/>
      <c r="L186" s="26" t="n"/>
      <c r="M186" s="24" t="n"/>
      <c r="N186" s="24" t="n"/>
    </row>
    <row r="187">
      <c r="A187" s="22" t="n"/>
      <c r="B187" s="23" t="n"/>
      <c r="C187" s="24" t="n"/>
      <c r="D187" s="24" t="n"/>
      <c r="E187" s="24" t="n"/>
      <c r="F187" s="22" t="n"/>
      <c r="G187" s="24" t="n"/>
      <c r="H187" s="26" t="n"/>
      <c r="I187" s="26" t="n"/>
      <c r="J187" s="26" t="n"/>
      <c r="K187" s="26" t="n"/>
      <c r="L187" s="26" t="n"/>
      <c r="M187" s="24" t="n"/>
      <c r="N187" s="24" t="n"/>
    </row>
    <row r="188">
      <c r="A188" s="22" t="n"/>
      <c r="B188" s="23" t="n"/>
      <c r="C188" s="24" t="n"/>
      <c r="D188" s="24" t="n"/>
      <c r="E188" s="24" t="n"/>
      <c r="F188" s="22" t="n"/>
      <c r="G188" s="24" t="n"/>
      <c r="H188" s="26" t="n"/>
      <c r="I188" s="26" t="n"/>
      <c r="J188" s="26" t="n"/>
      <c r="K188" s="26" t="n"/>
      <c r="L188" s="26" t="n"/>
      <c r="M188" s="24" t="n"/>
      <c r="N188" s="24" t="n"/>
    </row>
    <row r="189">
      <c r="A189" s="22" t="n"/>
      <c r="B189" s="23" t="n"/>
      <c r="C189" s="24" t="n"/>
      <c r="D189" s="24" t="n"/>
      <c r="E189" s="24" t="n"/>
      <c r="F189" s="22" t="n"/>
      <c r="G189" s="24" t="n"/>
      <c r="H189" s="26" t="n"/>
      <c r="I189" s="26" t="n"/>
      <c r="J189" s="26" t="n"/>
      <c r="K189" s="26" t="n"/>
      <c r="L189" s="26" t="n"/>
      <c r="M189" s="24" t="n"/>
      <c r="N189" s="24" t="n"/>
    </row>
    <row r="190">
      <c r="A190" s="22" t="n"/>
      <c r="B190" s="23" t="n"/>
      <c r="C190" s="24" t="n"/>
      <c r="D190" s="24" t="n"/>
      <c r="E190" s="24" t="n"/>
      <c r="F190" s="22" t="n"/>
      <c r="G190" s="24" t="n"/>
      <c r="H190" s="26" t="n"/>
      <c r="I190" s="26" t="n"/>
      <c r="J190" s="26" t="n"/>
      <c r="K190" s="26" t="n"/>
      <c r="L190" s="26" t="n"/>
      <c r="M190" s="24" t="n"/>
      <c r="N190" s="24" t="n"/>
    </row>
    <row r="191">
      <c r="A191" s="22" t="n"/>
      <c r="B191" s="23" t="n"/>
      <c r="C191" s="24" t="n"/>
      <c r="D191" s="24" t="n"/>
      <c r="E191" s="24" t="n"/>
      <c r="F191" s="22" t="n"/>
      <c r="G191" s="24" t="n"/>
      <c r="H191" s="26" t="n"/>
      <c r="I191" s="26" t="n"/>
      <c r="J191" s="26" t="n"/>
      <c r="K191" s="26" t="n"/>
      <c r="L191" s="26" t="n"/>
      <c r="M191" s="24" t="n"/>
      <c r="N191" s="24" t="n"/>
    </row>
    <row r="192">
      <c r="A192" s="22" t="n"/>
      <c r="B192" s="23" t="n"/>
      <c r="C192" s="24" t="n"/>
      <c r="D192" s="24" t="n"/>
      <c r="E192" s="24" t="n"/>
      <c r="F192" s="22" t="n"/>
      <c r="G192" s="24" t="n"/>
      <c r="H192" s="26" t="n"/>
      <c r="I192" s="26" t="n"/>
      <c r="J192" s="26" t="n"/>
      <c r="K192" s="26" t="n"/>
      <c r="L192" s="26" t="n"/>
      <c r="M192" s="24" t="n"/>
      <c r="N192" s="24" t="n"/>
    </row>
    <row r="193">
      <c r="A193" s="22" t="n"/>
      <c r="B193" s="23" t="n"/>
      <c r="C193" s="24" t="n"/>
      <c r="D193" s="24" t="n"/>
      <c r="E193" s="24" t="n"/>
      <c r="F193" s="22" t="n"/>
      <c r="G193" s="24" t="n"/>
      <c r="H193" s="26" t="n"/>
      <c r="I193" s="26" t="n"/>
      <c r="J193" s="26" t="n"/>
      <c r="K193" s="26" t="n"/>
      <c r="L193" s="26" t="n"/>
      <c r="M193" s="24" t="n"/>
      <c r="N193" s="24" t="n"/>
    </row>
    <row r="194">
      <c r="A194" s="22" t="n"/>
      <c r="B194" s="23" t="n"/>
      <c r="C194" s="24" t="n"/>
      <c r="D194" s="24" t="n"/>
      <c r="E194" s="24" t="n"/>
      <c r="F194" s="22" t="n"/>
      <c r="G194" s="24" t="n"/>
      <c r="H194" s="26" t="n"/>
      <c r="I194" s="26" t="n"/>
      <c r="J194" s="26" t="n"/>
      <c r="K194" s="26" t="n"/>
      <c r="L194" s="26" t="n"/>
      <c r="M194" s="24" t="n"/>
      <c r="N194" s="24" t="n"/>
    </row>
    <row r="195">
      <c r="A195" s="22" t="n"/>
      <c r="B195" s="23" t="n"/>
      <c r="C195" s="24" t="n"/>
      <c r="D195" s="24" t="n"/>
      <c r="E195" s="24" t="n"/>
      <c r="F195" s="22" t="n"/>
      <c r="G195" s="24" t="n"/>
      <c r="H195" s="26" t="n"/>
      <c r="I195" s="26" t="n"/>
      <c r="J195" s="26" t="n"/>
      <c r="K195" s="26" t="n"/>
      <c r="L195" s="26" t="n"/>
      <c r="M195" s="24" t="n"/>
      <c r="N195" s="24" t="n"/>
    </row>
    <row r="196">
      <c r="A196" s="22" t="n"/>
      <c r="B196" s="23" t="n"/>
      <c r="C196" s="24" t="n"/>
      <c r="D196" s="24" t="n"/>
      <c r="E196" s="24" t="n"/>
      <c r="F196" s="22" t="n"/>
      <c r="G196" s="24" t="n"/>
      <c r="H196" s="26" t="n"/>
      <c r="I196" s="26" t="n"/>
      <c r="J196" s="26" t="n"/>
      <c r="K196" s="26" t="n"/>
      <c r="L196" s="26" t="n"/>
      <c r="M196" s="24" t="n"/>
      <c r="N196" s="24" t="n"/>
    </row>
    <row r="197">
      <c r="A197" s="22" t="n"/>
      <c r="B197" s="23" t="n"/>
      <c r="C197" s="24" t="n"/>
      <c r="D197" s="24" t="n"/>
      <c r="E197" s="24" t="n"/>
      <c r="F197" s="22" t="n"/>
      <c r="G197" s="24" t="n"/>
      <c r="H197" s="26" t="n"/>
      <c r="I197" s="26" t="n"/>
      <c r="J197" s="26" t="n"/>
      <c r="K197" s="26" t="n"/>
      <c r="L197" s="26" t="n"/>
      <c r="M197" s="24" t="n"/>
      <c r="N197" s="24" t="n"/>
    </row>
    <row r="198">
      <c r="A198" s="22" t="n"/>
      <c r="B198" s="23" t="n"/>
      <c r="C198" s="24" t="n"/>
      <c r="D198" s="24" t="n"/>
      <c r="E198" s="24" t="n"/>
      <c r="F198" s="22" t="n"/>
      <c r="G198" s="24" t="n"/>
      <c r="H198" s="26" t="n"/>
      <c r="I198" s="26" t="n"/>
      <c r="J198" s="26" t="n"/>
      <c r="K198" s="26" t="n"/>
      <c r="L198" s="26" t="n"/>
      <c r="M198" s="24" t="n"/>
      <c r="N198" s="24" t="n"/>
    </row>
    <row r="199">
      <c r="A199" s="22" t="n"/>
      <c r="B199" s="23" t="n"/>
      <c r="C199" s="24" t="n"/>
      <c r="D199" s="24" t="n"/>
      <c r="E199" s="24" t="n"/>
      <c r="F199" s="22" t="n"/>
      <c r="G199" s="24" t="n"/>
      <c r="H199" s="26" t="n"/>
      <c r="I199" s="26" t="n"/>
      <c r="J199" s="26" t="n"/>
      <c r="K199" s="26" t="n"/>
      <c r="L199" s="26" t="n"/>
      <c r="M199" s="24" t="n"/>
      <c r="N199" s="24" t="n"/>
    </row>
    <row r="200">
      <c r="A200" s="22" t="n"/>
      <c r="B200" s="23" t="n"/>
      <c r="C200" s="24" t="n"/>
      <c r="D200" s="24" t="n"/>
      <c r="E200" s="24" t="n"/>
      <c r="F200" s="22" t="n"/>
      <c r="G200" s="24" t="n"/>
      <c r="H200" s="26" t="n"/>
      <c r="I200" s="26" t="n"/>
      <c r="J200" s="26" t="n"/>
      <c r="K200" s="26" t="n"/>
      <c r="L200" s="26" t="n"/>
      <c r="M200" s="24" t="n"/>
      <c r="N200" s="24" t="n"/>
    </row>
    <row r="201">
      <c r="A201" s="22" t="n"/>
      <c r="B201" s="23" t="n"/>
      <c r="C201" s="24" t="n"/>
      <c r="D201" s="24" t="n"/>
      <c r="E201" s="24" t="n"/>
      <c r="F201" s="22" t="n"/>
      <c r="G201" s="24" t="n"/>
      <c r="H201" s="26" t="n"/>
      <c r="I201" s="26" t="n"/>
      <c r="J201" s="26" t="n"/>
      <c r="K201" s="26" t="n"/>
      <c r="L201" s="26" t="n"/>
      <c r="M201" s="24" t="n"/>
      <c r="N201" s="24" t="n"/>
    </row>
    <row r="202">
      <c r="A202" s="22" t="n"/>
      <c r="B202" s="23" t="n"/>
      <c r="C202" s="24" t="n"/>
      <c r="D202" s="24" t="n"/>
      <c r="E202" s="24" t="n"/>
      <c r="F202" s="22" t="n"/>
      <c r="G202" s="24" t="n"/>
      <c r="H202" s="26" t="n"/>
      <c r="I202" s="26" t="n"/>
      <c r="J202" s="26" t="n"/>
      <c r="K202" s="26" t="n"/>
      <c r="L202" s="26" t="n"/>
      <c r="M202" s="24" t="n"/>
      <c r="N202" s="24" t="n"/>
    </row>
    <row r="203">
      <c r="A203" s="22" t="n"/>
      <c r="B203" s="23" t="n"/>
      <c r="C203" s="24" t="n"/>
      <c r="D203" s="24" t="n"/>
      <c r="E203" s="24" t="n"/>
      <c r="F203" s="22" t="n"/>
      <c r="G203" s="24" t="n"/>
      <c r="H203" s="26" t="n"/>
      <c r="I203" s="26" t="n"/>
      <c r="J203" s="26" t="n"/>
      <c r="K203" s="26" t="n"/>
      <c r="L203" s="26" t="n"/>
      <c r="M203" s="24" t="n"/>
      <c r="N203" s="24" t="n"/>
    </row>
    <row r="204">
      <c r="A204" s="22" t="n"/>
      <c r="B204" s="23" t="n"/>
      <c r="C204" s="24" t="n"/>
      <c r="D204" s="24" t="n"/>
      <c r="E204" s="24" t="n"/>
      <c r="F204" s="22" t="n"/>
      <c r="G204" s="24" t="n"/>
      <c r="H204" s="26" t="n"/>
      <c r="I204" s="26" t="n"/>
      <c r="J204" s="26" t="n"/>
      <c r="K204" s="26" t="n"/>
      <c r="L204" s="26" t="n"/>
      <c r="M204" s="24" t="n"/>
      <c r="N204" s="24" t="n"/>
    </row>
    <row r="205">
      <c r="A205" s="22" t="n"/>
      <c r="B205" s="23" t="n"/>
      <c r="C205" s="24" t="n"/>
      <c r="D205" s="24" t="n"/>
      <c r="E205" s="24" t="n"/>
      <c r="F205" s="22" t="n"/>
      <c r="G205" s="24" t="n"/>
      <c r="H205" s="26" t="n"/>
      <c r="I205" s="26" t="n"/>
      <c r="J205" s="26" t="n"/>
      <c r="K205" s="26" t="n"/>
      <c r="L205" s="26" t="n"/>
      <c r="M205" s="24" t="n"/>
      <c r="N205" s="24" t="n"/>
    </row>
  </sheetData>
  <dataValidations count="6">
    <dataValidation sqref="C6:C205" showDropDown="0" showInputMessage="0" showErrorMessage="0" allowBlank="1" errorTitle="Nilai tidak ada di daftar" error="Nilai di luar daftar. Tambahkan dulu ke sheet 'Daftar Pilihan' bila ini label baru." type="list" errorStyle="warning">
      <formula1>'Daftar Pilihan'!$A$5:$A$24</formula1>
    </dataValidation>
    <dataValidation sqref="D6:D205" showDropDown="0" showInputMessage="0" showErrorMessage="0" allowBlank="1" type="list">
      <formula1>'Daftar Pilihan'!$B$5:$B$6</formula1>
    </dataValidation>
    <dataValidation sqref="F6:F205" showDropDown="0" showInputMessage="0" showErrorMessage="0" allowBlank="1" type="list">
      <formula1>'Daftar Pilihan'!$C$5:$C$8</formula1>
    </dataValidation>
    <dataValidation sqref="G6:G205" showDropDown="0" showInputMessage="0" showErrorMessage="0" allowBlank="1" type="list">
      <formula1>'Daftar Pilihan'!$F$5:$F$6</formula1>
    </dataValidation>
    <dataValidation sqref="M6:M205" showDropDown="0" showInputMessage="0" showErrorMessage="0" allowBlank="1" type="list">
      <formula1>'Daftar Pilihan'!$D$5:$D$9</formula1>
    </dataValidation>
    <dataValidation sqref="Q2:Q3" showDropDown="0" showInputMessage="0" showErrorMessage="0" allowBlank="1" errorTitle="Nilai tidak ada di daftar" error="Nilai di luar daftar. Tambahkan dulu ke sheet 'Daftar Pilihan' bila ini label baru." type="list" errorStyle="warning">
      <formula1>'Daftar Pilihan'!$A$5:$A$24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Daftar Pilihan</t>
        </is>
      </c>
    </row>
    <row r="2">
      <c r="A2" s="2" t="inlineStr">
        <is>
          <t>Sumber dropdown. Label fase baru boleh ditambahkan di kolom A (baris kosong yang tersedia).</t>
        </is>
      </c>
    </row>
    <row r="4">
      <c r="A4" s="10" t="inlineStr">
        <is>
          <t>Label Fase</t>
        </is>
      </c>
      <c r="B4" s="10" t="inlineStr">
        <is>
          <t>Mode</t>
        </is>
      </c>
      <c r="C4" s="10" t="inlineStr">
        <is>
          <t>Durasi Target (mnt)</t>
        </is>
      </c>
      <c r="D4" s="10" t="inlineStr">
        <is>
          <t>Status Akhir</t>
        </is>
      </c>
      <c r="E4" s="10" t="inlineStr">
        <is>
          <t>Tahap Gagal</t>
        </is>
      </c>
      <c r="F4" s="10" t="inlineStr">
        <is>
          <t>Pakai Ulang File?</t>
        </is>
      </c>
    </row>
    <row r="5">
      <c r="A5" s="24" t="inlineStr">
        <is>
          <t>baseline</t>
        </is>
      </c>
      <c r="B5" s="44" t="inlineStr">
        <is>
          <t>baseline</t>
        </is>
      </c>
      <c r="C5" s="44" t="n">
        <v>1</v>
      </c>
      <c r="D5" s="44" t="inlineStr">
        <is>
          <t>SUCCESS</t>
        </is>
      </c>
      <c r="E5" s="44" t="inlineStr">
        <is>
          <t>UPLOAD</t>
        </is>
      </c>
      <c r="F5" s="44" t="inlineStr">
        <is>
          <t>Ya</t>
        </is>
      </c>
    </row>
    <row r="6">
      <c r="A6" s="24" t="inlineStr">
        <is>
          <t>optimized</t>
        </is>
      </c>
      <c r="B6" s="44" t="inlineStr">
        <is>
          <t>optimized</t>
        </is>
      </c>
      <c r="C6" s="44" t="n">
        <v>3</v>
      </c>
      <c r="D6" s="44" t="inlineStr">
        <is>
          <t>SILENT_FAILURE</t>
        </is>
      </c>
      <c r="E6" s="44" t="inlineStr">
        <is>
          <t>FILE_ACTIVE</t>
        </is>
      </c>
      <c r="F6" s="44" t="inlineStr">
        <is>
          <t>Tidak</t>
        </is>
      </c>
    </row>
    <row r="7">
      <c r="A7" s="24" t="inlineStr">
        <is>
          <t>baseline-fault30</t>
        </is>
      </c>
      <c r="C7" s="44" t="n">
        <v>5</v>
      </c>
      <c r="D7" s="44" t="inlineStr">
        <is>
          <t>FAILED</t>
        </is>
      </c>
      <c r="E7" s="44" t="inlineStr">
        <is>
          <t>GENERATE</t>
        </is>
      </c>
    </row>
    <row r="8">
      <c r="A8" s="24" t="inlineStr">
        <is>
          <t>optimized-fault30</t>
        </is>
      </c>
      <c r="C8" s="44" t="n">
        <v>8</v>
      </c>
      <c r="D8" s="44" t="inlineStr">
        <is>
          <t>TIMEOUT</t>
        </is>
      </c>
      <c r="E8" s="44" t="inlineStr">
        <is>
          <t>PARSE</t>
        </is>
      </c>
    </row>
    <row r="9">
      <c r="A9" s="24" t="inlineStr">
        <is>
          <t>baseline-hang20</t>
        </is>
      </c>
      <c r="D9" s="44" t="inlineStr">
        <is>
          <t>STUCK</t>
        </is>
      </c>
      <c r="E9" s="44" t="inlineStr">
        <is>
          <t>SAVE</t>
        </is>
      </c>
    </row>
    <row r="10">
      <c r="A10" s="24" t="inlineStr">
        <is>
          <t>optimized-hang20</t>
        </is>
      </c>
      <c r="E10" s="44" t="inlineStr">
        <is>
          <t>DEADLINE</t>
        </is>
      </c>
    </row>
    <row r="11">
      <c r="A11" s="24" t="n"/>
      <c r="E11" s="44" t="inlineStr">
        <is>
          <t>ORPHANED</t>
        </is>
      </c>
    </row>
    <row r="12">
      <c r="A12" s="24" t="n"/>
      <c r="E12" s="44" t="inlineStr">
        <is>
          <t>VALIDATION</t>
        </is>
      </c>
    </row>
    <row r="13">
      <c r="A13" s="24" t="n"/>
    </row>
    <row r="14">
      <c r="A14" s="24" t="n"/>
    </row>
    <row r="15">
      <c r="A15" s="24" t="n"/>
    </row>
    <row r="16">
      <c r="A16" s="24" t="n"/>
    </row>
    <row r="17">
      <c r="A17" s="24" t="n"/>
    </row>
    <row r="18">
      <c r="A18" s="24" t="n"/>
    </row>
    <row r="19">
      <c r="A19" s="24" t="n"/>
    </row>
    <row r="20">
      <c r="A20" s="24" t="n"/>
    </row>
    <row r="21">
      <c r="A21" s="24" t="n"/>
    </row>
    <row r="22">
      <c r="A22" s="24" t="n"/>
    </row>
    <row r="23">
      <c r="A23" s="24" t="n"/>
    </row>
    <row r="24">
      <c r="A24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2026-10-06T04:49:12Z</dcterms:created>
  <dcterms:modified xmlns:dcterms="http://purl.org/dc/terms/" xmlns:xsi="http://www.w3.org/2001/XMLSchema-instance" xsi:type="dcterms:W3CDTF">2026-10-06T04:49:13Z</dcterms:modified>
</cp:coreProperties>
</file>